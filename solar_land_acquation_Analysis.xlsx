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Kore kaka\data\"/>
    </mc:Choice>
  </mc:AlternateContent>
  <xr:revisionPtr revIDLastSave="0" documentId="13_ncr:1_{DC23AA1A-2983-4B15-A643-A22009751BB2}" xr6:coauthVersionLast="47" xr6:coauthVersionMax="47" xr10:uidLastSave="{00000000-0000-0000-0000-000000000000}"/>
  <bookViews>
    <workbookView xWindow="-108" yWindow="-108" windowWidth="23256" windowHeight="13176" activeTab="3" xr2:uid="{6D1D3627-4B87-4DD8-9DF3-07BA5B29036C}"/>
  </bookViews>
  <sheets>
    <sheet name="Land_Parcel_Tracking" sheetId="1" r:id="rId1"/>
    <sheet name="project_overview" sheetId="2" r:id="rId2"/>
    <sheet name="managment_summary" sheetId="3" r:id="rId3"/>
    <sheet name="pivot_analysis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B13" i="3"/>
  <c r="B12" i="3"/>
  <c r="B11" i="3"/>
  <c r="F18" i="2"/>
  <c r="G18" i="2"/>
  <c r="H503" i="1"/>
  <c r="B8" i="3"/>
  <c r="B7" i="3"/>
  <c r="B6" i="3"/>
  <c r="B5" i="3"/>
  <c r="B4" i="3"/>
  <c r="B3" i="3"/>
</calcChain>
</file>

<file path=xl/sharedStrings.xml><?xml version="1.0" encoding="utf-8"?>
<sst xmlns="http://schemas.openxmlformats.org/spreadsheetml/2006/main" count="6179" uniqueCount="1634">
  <si>
    <t>Parcel_ID</t>
  </si>
  <si>
    <t>Project_ID</t>
  </si>
  <si>
    <t>State</t>
  </si>
  <si>
    <t>District</t>
  </si>
  <si>
    <t>Taluka</t>
  </si>
  <si>
    <t>Village</t>
  </si>
  <si>
    <t>Survey_Number</t>
  </si>
  <si>
    <t>Farmer_Name</t>
  </si>
  <si>
    <t>Land_Area_Acres</t>
  </si>
  <si>
    <t>Agreement_Status</t>
  </si>
  <si>
    <t>Legal_Verification</t>
  </si>
  <si>
    <t>Registration_Status</t>
  </si>
  <si>
    <t>Payment_Status</t>
  </si>
  <si>
    <t>Acquisition_Date</t>
  </si>
  <si>
    <t>LND-0498</t>
  </si>
  <si>
    <t>PRJ-KA-05</t>
  </si>
  <si>
    <t>Karnataka</t>
  </si>
  <si>
    <t>Gadag</t>
  </si>
  <si>
    <t>Betgeri</t>
  </si>
  <si>
    <t>74/1</t>
  </si>
  <si>
    <t>Hanumantha Biradar</t>
  </si>
  <si>
    <t>Under Negotiation</t>
  </si>
  <si>
    <t>Pending</t>
  </si>
  <si>
    <t>Not Registered</t>
  </si>
  <si>
    <t>Unpaid</t>
  </si>
  <si>
    <t>LND-0489</t>
  </si>
  <si>
    <t>PRJ-KA-08</t>
  </si>
  <si>
    <t>Bidar</t>
  </si>
  <si>
    <t>Basavakalyan</t>
  </si>
  <si>
    <t>Udgir</t>
  </si>
  <si>
    <t>Gut No. 867/3</t>
  </si>
  <si>
    <t>Fakeerappa Angadi</t>
  </si>
  <si>
    <t>Advance Paid</t>
  </si>
  <si>
    <t>LND-0165</t>
  </si>
  <si>
    <t>PRJ-MH-02</t>
  </si>
  <si>
    <t>Maharashtra</t>
  </si>
  <si>
    <t>Solapur</t>
  </si>
  <si>
    <t>Mohol</t>
  </si>
  <si>
    <t>Pandharpur</t>
  </si>
  <si>
    <t>Gut No. 429/3</t>
  </si>
  <si>
    <t>Mahadev Murkute</t>
  </si>
  <si>
    <t>Agreement Executed</t>
  </si>
  <si>
    <t>Cleared</t>
  </si>
  <si>
    <t>Partially Paid</t>
  </si>
  <si>
    <t>LND-0109</t>
  </si>
  <si>
    <t>Osmanabad</t>
  </si>
  <si>
    <t>Tuljapur</t>
  </si>
  <si>
    <t>Wadgaon</t>
  </si>
  <si>
    <t>Gut No. 622/8</t>
  </si>
  <si>
    <t>Mahadev Mane</t>
  </si>
  <si>
    <t>Not Started</t>
  </si>
  <si>
    <t>LND-0111</t>
  </si>
  <si>
    <t>PRJ-MH-01</t>
  </si>
  <si>
    <t>Barshi</t>
  </si>
  <si>
    <t>Shegaon</t>
  </si>
  <si>
    <t>783/5</t>
  </si>
  <si>
    <t>Popat Salve</t>
  </si>
  <si>
    <t>Disputed</t>
  </si>
  <si>
    <t>LND-0445</t>
  </si>
  <si>
    <t>PRJ-KA-02</t>
  </si>
  <si>
    <t>890/5</t>
  </si>
  <si>
    <t>Basavaraj Hugar</t>
  </si>
  <si>
    <t>LND-0257</t>
  </si>
  <si>
    <t>PRJ-MH-07</t>
  </si>
  <si>
    <t>Gut No. 938/6</t>
  </si>
  <si>
    <t>Santosh Jadhav</t>
  </si>
  <si>
    <t>LND-0431</t>
  </si>
  <si>
    <t>PRJ-KA-04</t>
  </si>
  <si>
    <t>Koppal</t>
  </si>
  <si>
    <t>Kushtagi</t>
  </si>
  <si>
    <t>Guttal</t>
  </si>
  <si>
    <t>572/9</t>
  </si>
  <si>
    <t>Yankappa Gowda</t>
  </si>
  <si>
    <t>MOU Signed</t>
  </si>
  <si>
    <t>LND-0490</t>
  </si>
  <si>
    <t>Vijayapura</t>
  </si>
  <si>
    <t>Muddebihal</t>
  </si>
  <si>
    <t>Gut No. 546/8</t>
  </si>
  <si>
    <t>Mahantappa Doddamani</t>
  </si>
  <si>
    <t>LND-0423</t>
  </si>
  <si>
    <t>PRJ-KA-01</t>
  </si>
  <si>
    <t>Ron</t>
  </si>
  <si>
    <t>Kanaginahal</t>
  </si>
  <si>
    <t>257/1</t>
  </si>
  <si>
    <t>Devendrappa Hosamani</t>
  </si>
  <si>
    <t>Fully Paid</t>
  </si>
  <si>
    <t>LND-0047</t>
  </si>
  <si>
    <t>PRJ-MH-05</t>
  </si>
  <si>
    <t>Latur</t>
  </si>
  <si>
    <t>Ausa</t>
  </si>
  <si>
    <t>Gut No. 345/7</t>
  </si>
  <si>
    <t>Shriram More</t>
  </si>
  <si>
    <t>LND-0388</t>
  </si>
  <si>
    <t>Humnabad</t>
  </si>
  <si>
    <t>Nilanga</t>
  </si>
  <si>
    <t>Gut No. 356/5</t>
  </si>
  <si>
    <t>Revanasiddappa Gudadinni</t>
  </si>
  <si>
    <t>LND-0096</t>
  </si>
  <si>
    <t>Kalamb</t>
  </si>
  <si>
    <t>71/9</t>
  </si>
  <si>
    <t>Ganpat Sawant</t>
  </si>
  <si>
    <t>In Progress</t>
  </si>
  <si>
    <t>LND-0414</t>
  </si>
  <si>
    <t>PRJ-KA-03</t>
  </si>
  <si>
    <t>Kalaburagi</t>
  </si>
  <si>
    <t>Yadgir</t>
  </si>
  <si>
    <t>Gut No. 633/8</t>
  </si>
  <si>
    <t>Eranna Gudadinni</t>
  </si>
  <si>
    <t>LND-0072</t>
  </si>
  <si>
    <t>Murud</t>
  </si>
  <si>
    <t>Gut No. 332/2</t>
  </si>
  <si>
    <t>Kisan Bhosale</t>
  </si>
  <si>
    <t>LND-0207</t>
  </si>
  <si>
    <t>PRJ-MH-06</t>
  </si>
  <si>
    <t>Pune</t>
  </si>
  <si>
    <t>Haveli</t>
  </si>
  <si>
    <t>Lonikand</t>
  </si>
  <si>
    <t>Gut No. 503/4</t>
  </si>
  <si>
    <t>Narayan Chavan</t>
  </si>
  <si>
    <t>Registered</t>
  </si>
  <si>
    <t>LND-0326</t>
  </si>
  <si>
    <t>966/3</t>
  </si>
  <si>
    <t>Veeranna Kamble</t>
  </si>
  <si>
    <t>LND-0287</t>
  </si>
  <si>
    <t>PRJ-KA-06</t>
  </si>
  <si>
    <t>Gut No. 844/8</t>
  </si>
  <si>
    <t>Nagappa Gowda</t>
  </si>
  <si>
    <t>LND-0278</t>
  </si>
  <si>
    <t>601/3</t>
  </si>
  <si>
    <t>Nagaraj Gowda</t>
  </si>
  <si>
    <t>LND-0215</t>
  </si>
  <si>
    <t>PRJ-MH-04</t>
  </si>
  <si>
    <t>Gut No. 992/6</t>
  </si>
  <si>
    <t>Popat Londhe</t>
  </si>
  <si>
    <t>LND-0462</t>
  </si>
  <si>
    <t>403/7</t>
  </si>
  <si>
    <t>Gurusiddappa Hosamani</t>
  </si>
  <si>
    <t>LND-0145</t>
  </si>
  <si>
    <t>Lohara</t>
  </si>
  <si>
    <t>Washi</t>
  </si>
  <si>
    <t>627/5</t>
  </si>
  <si>
    <t>Laxman Sutar</t>
  </si>
  <si>
    <t>LND-0258</t>
  </si>
  <si>
    <t>Karkamb</t>
  </si>
  <si>
    <t>977/7</t>
  </si>
  <si>
    <t>Dnyandev Dhole</t>
  </si>
  <si>
    <t>LND-0097</t>
  </si>
  <si>
    <t>Gut No. 818/3</t>
  </si>
  <si>
    <t>Vitthal Kadam</t>
  </si>
  <si>
    <t>LND-0002</t>
  </si>
  <si>
    <t>Baramati</t>
  </si>
  <si>
    <t>Pargaon</t>
  </si>
  <si>
    <t>239/9</t>
  </si>
  <si>
    <t>Balasaheb Patil</t>
  </si>
  <si>
    <t>LND-0091</t>
  </si>
  <si>
    <t>Gut No. 378/5</t>
  </si>
  <si>
    <t>Pramod Bhosale</t>
  </si>
  <si>
    <t>LND-0317</t>
  </si>
  <si>
    <t>PRJ-KA-07</t>
  </si>
  <si>
    <t>Parasgad</t>
  </si>
  <si>
    <t>609/1</t>
  </si>
  <si>
    <t>Santosh Gowda</t>
  </si>
  <si>
    <t>LND-0282</t>
  </si>
  <si>
    <t>Kamalnagar</t>
  </si>
  <si>
    <t>710/2</t>
  </si>
  <si>
    <t>Lingappa Swamy</t>
  </si>
  <si>
    <t>LND-0080</t>
  </si>
  <si>
    <t>Nanded</t>
  </si>
  <si>
    <t>Hadgaon</t>
  </si>
  <si>
    <t>420/3</t>
  </si>
  <si>
    <t>Dnyandev Sutar</t>
  </si>
  <si>
    <t>LND-0307</t>
  </si>
  <si>
    <t>Gut No. 866/3</t>
  </si>
  <si>
    <t>Santosh Bennur</t>
  </si>
  <si>
    <t>LND-0234</t>
  </si>
  <si>
    <t>Akkalkot</t>
  </si>
  <si>
    <t>Nandeshwar</t>
  </si>
  <si>
    <t>834/4</t>
  </si>
  <si>
    <t>Tukaram Shinde</t>
  </si>
  <si>
    <t>LND-0119</t>
  </si>
  <si>
    <t>Chakur</t>
  </si>
  <si>
    <t>Salegaon</t>
  </si>
  <si>
    <t>461/4</t>
  </si>
  <si>
    <t>Bhagwan Yadav</t>
  </si>
  <si>
    <t>LND-0033</t>
  </si>
  <si>
    <t>676/4</t>
  </si>
  <si>
    <t>Dattatray Salve</t>
  </si>
  <si>
    <t>LND-0381</t>
  </si>
  <si>
    <t>Raichur</t>
  </si>
  <si>
    <t>Manvi</t>
  </si>
  <si>
    <t>Kavital</t>
  </si>
  <si>
    <t>Gut No. 268/9</t>
  </si>
  <si>
    <t>Yankappa Doddamani</t>
  </si>
  <si>
    <t>LND-0167</t>
  </si>
  <si>
    <t>PRJ-MH-08</t>
  </si>
  <si>
    <t>Akluj</t>
  </si>
  <si>
    <t>Gut No. 231/5</t>
  </si>
  <si>
    <t>Kisan Pawar</t>
  </si>
  <si>
    <t>LND-0059</t>
  </si>
  <si>
    <t>324/2</t>
  </si>
  <si>
    <t>Shriram Chavan</t>
  </si>
  <si>
    <t>LND-0407</t>
  </si>
  <si>
    <t>Saidapur</t>
  </si>
  <si>
    <t>Gut No. 235/4</t>
  </si>
  <si>
    <t>Srinivas Rao</t>
  </si>
  <si>
    <t>LND-0159</t>
  </si>
  <si>
    <t>Rui</t>
  </si>
  <si>
    <t>584/9</t>
  </si>
  <si>
    <t>Ganpat Waghmare</t>
  </si>
  <si>
    <t>LND-0264</t>
  </si>
  <si>
    <t>967/4</t>
  </si>
  <si>
    <t>Shankar Sawant</t>
  </si>
  <si>
    <t>LND-0089</t>
  </si>
  <si>
    <t>806/9</t>
  </si>
  <si>
    <t>Narayan Naik</t>
  </si>
  <si>
    <t>LND-0185</t>
  </si>
  <si>
    <t>Manjari</t>
  </si>
  <si>
    <t>670/6</t>
  </si>
  <si>
    <t>Vitthal More</t>
  </si>
  <si>
    <t>LND-0082</t>
  </si>
  <si>
    <t>Gut No. 101/2</t>
  </si>
  <si>
    <t>Arjun More</t>
  </si>
  <si>
    <t>LND-0328</t>
  </si>
  <si>
    <t>979/6</t>
  </si>
  <si>
    <t>Ashok Hiremath</t>
  </si>
  <si>
    <t>LND-0020</t>
  </si>
  <si>
    <t>Gut No. 493/4</t>
  </si>
  <si>
    <t>Raju Bhosale</t>
  </si>
  <si>
    <t>LND-0251</t>
  </si>
  <si>
    <t>Koregaon Bhima</t>
  </si>
  <si>
    <t>550/6</t>
  </si>
  <si>
    <t>Dattatray Sawant</t>
  </si>
  <si>
    <t>LND-0392</t>
  </si>
  <si>
    <t>Indi</t>
  </si>
  <si>
    <t>Gut No. 78/9</t>
  </si>
  <si>
    <t>Siddappa Biradar</t>
  </si>
  <si>
    <t>LND-0066</t>
  </si>
  <si>
    <t>704/4</t>
  </si>
  <si>
    <t>Santosh Wagh</t>
  </si>
  <si>
    <t>LND-0081</t>
  </si>
  <si>
    <t>Bhoom</t>
  </si>
  <si>
    <t>Gut No. 978/6</t>
  </si>
  <si>
    <t>Ashok Murkute</t>
  </si>
  <si>
    <t>LND-0188</t>
  </si>
  <si>
    <t>Jalkot</t>
  </si>
  <si>
    <t>773/1</t>
  </si>
  <si>
    <t>Shankar Naik</t>
  </si>
  <si>
    <t>LND-0110</t>
  </si>
  <si>
    <t>Gut No. 540/5</t>
  </si>
  <si>
    <t>Suresh Gaikwad</t>
  </si>
  <si>
    <t>LND-0410</t>
  </si>
  <si>
    <t>Sindgi</t>
  </si>
  <si>
    <t>Talikot</t>
  </si>
  <si>
    <t>Gut No. 160/5</t>
  </si>
  <si>
    <t>Basavaraj Patil</t>
  </si>
  <si>
    <t>LND-0163</t>
  </si>
  <si>
    <t>Gut No. 690/2</t>
  </si>
  <si>
    <t>Mahadev Sawant</t>
  </si>
  <si>
    <t>LND-0311</t>
  </si>
  <si>
    <t>Hatti</t>
  </si>
  <si>
    <t>324/3</t>
  </si>
  <si>
    <t>Nagaraj Naik</t>
  </si>
  <si>
    <t>LND-0416</t>
  </si>
  <si>
    <t>Sindhanur</t>
  </si>
  <si>
    <t>Gut No. 320/8</t>
  </si>
  <si>
    <t>Lingappa Hosamani</t>
  </si>
  <si>
    <t>LND-0412</t>
  </si>
  <si>
    <t>Gut No. 256/3</t>
  </si>
  <si>
    <t>Ramesh Honnalli</t>
  </si>
  <si>
    <t>LND-0396</t>
  </si>
  <si>
    <t>Gadlegaon</t>
  </si>
  <si>
    <t>Gut No. 324/1</t>
  </si>
  <si>
    <t>Basavaraj Nayak</t>
  </si>
  <si>
    <t>LND-0367</t>
  </si>
  <si>
    <t>Sedam</t>
  </si>
  <si>
    <t>Kamalapur</t>
  </si>
  <si>
    <t>754/8</t>
  </si>
  <si>
    <t>Lingappa Reddy</t>
  </si>
  <si>
    <t>LND-0114</t>
  </si>
  <si>
    <t>Indapur</t>
  </si>
  <si>
    <t>Nimgaon Ketki</t>
  </si>
  <si>
    <t>Gut No. 852/6</t>
  </si>
  <si>
    <t>Dnyandev Thorat</t>
  </si>
  <si>
    <t>LND-0253</t>
  </si>
  <si>
    <t>719/1</t>
  </si>
  <si>
    <t>Pandhari Sutar</t>
  </si>
  <si>
    <t>LND-0218</t>
  </si>
  <si>
    <t>PRJ-MH-03</t>
  </si>
  <si>
    <t>Gut No. 613/8</t>
  </si>
  <si>
    <t>LND-0480</t>
  </si>
  <si>
    <t>788/2</t>
  </si>
  <si>
    <t>Ashok Kulkarni</t>
  </si>
  <si>
    <t>LND-0447</t>
  </si>
  <si>
    <t>262/3</t>
  </si>
  <si>
    <t>Shivanand Rao</t>
  </si>
  <si>
    <t>LND-0394</t>
  </si>
  <si>
    <t>Gut No. 629/1</t>
  </si>
  <si>
    <t>Nagaraj Bennur</t>
  </si>
  <si>
    <t>LND-0433</t>
  </si>
  <si>
    <t>577/9</t>
  </si>
  <si>
    <t>Nagappa Lamani</t>
  </si>
  <si>
    <t>LND-0061</t>
  </si>
  <si>
    <t>Undewadi</t>
  </si>
  <si>
    <t>654/8</t>
  </si>
  <si>
    <t>Vitthal Patil</t>
  </si>
  <si>
    <t>LND-0158</t>
  </si>
  <si>
    <t>Bhandgaon</t>
  </si>
  <si>
    <t>Gut No. 293/9</t>
  </si>
  <si>
    <t>Ramesh Deshmukh</t>
  </si>
  <si>
    <t>LND-0336</t>
  </si>
  <si>
    <t>791/8</t>
  </si>
  <si>
    <t>Channappa Doddamani</t>
  </si>
  <si>
    <t>LND-0342</t>
  </si>
  <si>
    <t>205/5</t>
  </si>
  <si>
    <t>Nagaraj Desai</t>
  </si>
  <si>
    <t>LND-0322</t>
  </si>
  <si>
    <t>Gut No. 153/2</t>
  </si>
  <si>
    <t>Nagaraj Hiremath</t>
  </si>
  <si>
    <t>LND-0084</t>
  </si>
  <si>
    <t>Umri</t>
  </si>
  <si>
    <t>510/3</t>
  </si>
  <si>
    <t>Rajendra Dhole</t>
  </si>
  <si>
    <t>LND-0214</t>
  </si>
  <si>
    <t>Gut No. 451/6</t>
  </si>
  <si>
    <t>Mahadev Wagh</t>
  </si>
  <si>
    <t>LND-0295</t>
  </si>
  <si>
    <t>Gut No. 899/7</t>
  </si>
  <si>
    <t>Eranna Lamani</t>
  </si>
  <si>
    <t>LND-0492</t>
  </si>
  <si>
    <t>Gut No. 334/9</t>
  </si>
  <si>
    <t>Veeranna Hosamani</t>
  </si>
  <si>
    <t>LND-0003</t>
  </si>
  <si>
    <t>Ahmedpur</t>
  </si>
  <si>
    <t>221/6</t>
  </si>
  <si>
    <t>Vitthal Jadhav</t>
  </si>
  <si>
    <t>LND-0438</t>
  </si>
  <si>
    <t>Gut No. 81/1</t>
  </si>
  <si>
    <t>Nagaraj Hugar</t>
  </si>
  <si>
    <t>LND-0453</t>
  </si>
  <si>
    <t>Shirhatti</t>
  </si>
  <si>
    <t>884/3</t>
  </si>
  <si>
    <t>Fakeerappa Hiremath</t>
  </si>
  <si>
    <t>LND-0331</t>
  </si>
  <si>
    <t>Kamalanagar</t>
  </si>
  <si>
    <t>Gut No. 413/4</t>
  </si>
  <si>
    <t>Mallappa Hosamani</t>
  </si>
  <si>
    <t>LND-0098</t>
  </si>
  <si>
    <t>272/1</t>
  </si>
  <si>
    <t>Shankar Londhe</t>
  </si>
  <si>
    <t>LND-0106</t>
  </si>
  <si>
    <t>Biloli</t>
  </si>
  <si>
    <t>Mukhed</t>
  </si>
  <si>
    <t>Gut No. 30/3</t>
  </si>
  <si>
    <t>Santosh Murkute</t>
  </si>
  <si>
    <t>LND-0191</t>
  </si>
  <si>
    <t>Anatpal</t>
  </si>
  <si>
    <t>Gut No. 937/1</t>
  </si>
  <si>
    <t>Vilas Thorat</t>
  </si>
  <si>
    <t>LND-0285</t>
  </si>
  <si>
    <t>Gut No. 722/1</t>
  </si>
  <si>
    <t>Yankappa Honnalli</t>
  </si>
  <si>
    <t>LND-0293</t>
  </si>
  <si>
    <t>Malkhed</t>
  </si>
  <si>
    <t>Gut No. 328/2</t>
  </si>
  <si>
    <t>Mallappa Lamani</t>
  </si>
  <si>
    <t>LND-0204</t>
  </si>
  <si>
    <t>Wadwal Nagnath</t>
  </si>
  <si>
    <t>Gut No. 278/1</t>
  </si>
  <si>
    <t>Dnyandev Kadam</t>
  </si>
  <si>
    <t>LND-0071</t>
  </si>
  <si>
    <t>879/3</t>
  </si>
  <si>
    <t>Bhagwan Thorat</t>
  </si>
  <si>
    <t>LND-0425</t>
  </si>
  <si>
    <t>Gut No. 752/3</t>
  </si>
  <si>
    <t>Basavaraj Gudadinni</t>
  </si>
  <si>
    <t>LND-0321</t>
  </si>
  <si>
    <t>Chitapur</t>
  </si>
  <si>
    <t>Gut No. 933/4</t>
  </si>
  <si>
    <t>Ramesh Biradar</t>
  </si>
  <si>
    <t>LND-0312</t>
  </si>
  <si>
    <t>Maski</t>
  </si>
  <si>
    <t>591/3</t>
  </si>
  <si>
    <t>Devendrappa Naik</t>
  </si>
  <si>
    <t>LND-0262</t>
  </si>
  <si>
    <t>919/9</t>
  </si>
  <si>
    <t>LND-0184</t>
  </si>
  <si>
    <t>Gut No. 419/3</t>
  </si>
  <si>
    <t>Kisan Kulkarni</t>
  </si>
  <si>
    <t>LND-0102</t>
  </si>
  <si>
    <t>Gut No. 348/8</t>
  </si>
  <si>
    <t>Dattatray Thorat</t>
  </si>
  <si>
    <t>LND-0335</t>
  </si>
  <si>
    <t>Shorapur</t>
  </si>
  <si>
    <t>Gut No. 110/5</t>
  </si>
  <si>
    <t>Anil Nayak</t>
  </si>
  <si>
    <t>LND-0419</t>
  </si>
  <si>
    <t>Mudgal</t>
  </si>
  <si>
    <t>Gut No. 163/1</t>
  </si>
  <si>
    <t>Srinivas Bennur</t>
  </si>
  <si>
    <t>LND-0023</t>
  </si>
  <si>
    <t>Uruli Kanchan</t>
  </si>
  <si>
    <t>414/2</t>
  </si>
  <si>
    <t>Pramod Gaikwad</t>
  </si>
  <si>
    <t>LND-0209</t>
  </si>
  <si>
    <t>Malegaon</t>
  </si>
  <si>
    <t>Gut No. 456/6</t>
  </si>
  <si>
    <t>Kisan Mane</t>
  </si>
  <si>
    <t>LND-0319</t>
  </si>
  <si>
    <t>Gut No. 638/3</t>
  </si>
  <si>
    <t>LND-0448</t>
  </si>
  <si>
    <t>Hulsoor</t>
  </si>
  <si>
    <t>Gut No. 886/2</t>
  </si>
  <si>
    <t>Basavaraj Rao</t>
  </si>
  <si>
    <t>LND-0224</t>
  </si>
  <si>
    <t>656/7</t>
  </si>
  <si>
    <t>Dattatray Patil</t>
  </si>
  <si>
    <t>LND-0401</t>
  </si>
  <si>
    <t>221/5</t>
  </si>
  <si>
    <t>Devendrappa Honnalli</t>
  </si>
  <si>
    <t>LND-0070</t>
  </si>
  <si>
    <t>Deglur</t>
  </si>
  <si>
    <t>Gut No. 532/8</t>
  </si>
  <si>
    <t>Santosh More</t>
  </si>
  <si>
    <t>LND-0454</t>
  </si>
  <si>
    <t>326/3</t>
  </si>
  <si>
    <t>Srinivas Patil</t>
  </si>
  <si>
    <t>LND-0194</t>
  </si>
  <si>
    <t>Gut No. 937/4</t>
  </si>
  <si>
    <t>Laxman Yadav</t>
  </si>
  <si>
    <t>LND-0016</t>
  </si>
  <si>
    <t>881/6</t>
  </si>
  <si>
    <t>Dnyandev Naik</t>
  </si>
  <si>
    <t>LND-0042</t>
  </si>
  <si>
    <t>Gut No. 137/8</t>
  </si>
  <si>
    <t>Subhash Naik</t>
  </si>
  <si>
    <t>LND-0497</t>
  </si>
  <si>
    <t>Gangavathi</t>
  </si>
  <si>
    <t>Gut No. 143/4</t>
  </si>
  <si>
    <t>Suresh Lamani</t>
  </si>
  <si>
    <t>LND-0397</t>
  </si>
  <si>
    <t>Devara Hippargi</t>
  </si>
  <si>
    <t>562/5</t>
  </si>
  <si>
    <t>Revanasiddappa Swamy</t>
  </si>
  <si>
    <t>LND-0292</t>
  </si>
  <si>
    <t>996/4</t>
  </si>
  <si>
    <t>Nagappa Kulkarni</t>
  </si>
  <si>
    <t>LND-0203</t>
  </si>
  <si>
    <t>Gut No. 661/6</t>
  </si>
  <si>
    <t>Pramod Deshmukh</t>
  </si>
  <si>
    <t>LND-0426</t>
  </si>
  <si>
    <t>Sannati</t>
  </si>
  <si>
    <t>628/5</t>
  </si>
  <si>
    <t>Gurusiddappa Kamble</t>
  </si>
  <si>
    <t>LND-0387</t>
  </si>
  <si>
    <t>Gut No. 686/7</t>
  </si>
  <si>
    <t>LND-0231</t>
  </si>
  <si>
    <t>300/1</t>
  </si>
  <si>
    <t>Santosh Gaikwad</t>
  </si>
  <si>
    <t>LND-0026</t>
  </si>
  <si>
    <t>Kinwat</t>
  </si>
  <si>
    <t>Gut No. 903/2</t>
  </si>
  <si>
    <t>Rajendra Waghmare</t>
  </si>
  <si>
    <t>LND-0157</t>
  </si>
  <si>
    <t>Bhokar</t>
  </si>
  <si>
    <t>Gut No. 510/1</t>
  </si>
  <si>
    <t>Dnyandev Bhosale</t>
  </si>
  <si>
    <t>LND-0225</t>
  </si>
  <si>
    <t>286/2</t>
  </si>
  <si>
    <t>LND-0029</t>
  </si>
  <si>
    <t>Kinhala</t>
  </si>
  <si>
    <t>115/2</t>
  </si>
  <si>
    <t>Laxman Kulkarni</t>
  </si>
  <si>
    <t>LND-0127</t>
  </si>
  <si>
    <t>Bhalwani</t>
  </si>
  <si>
    <t>Gut No. 473/5</t>
  </si>
  <si>
    <t>LND-0370</t>
  </si>
  <si>
    <t>Lingsugur</t>
  </si>
  <si>
    <t>Gut No. 362/6</t>
  </si>
  <si>
    <t>Devendrappa Biradar</t>
  </si>
  <si>
    <t>LND-0228</t>
  </si>
  <si>
    <t>Gut No. 711/3</t>
  </si>
  <si>
    <t>Anil Bhosale</t>
  </si>
  <si>
    <t>LND-0064</t>
  </si>
  <si>
    <t>Gut No. 583/1</t>
  </si>
  <si>
    <t>Balasaheb Londhe</t>
  </si>
  <si>
    <t>LND-0153</t>
  </si>
  <si>
    <t>Mahur</t>
  </si>
  <si>
    <t>Gut No. 251/7</t>
  </si>
  <si>
    <t>Popat Dhole</t>
  </si>
  <si>
    <t>LND-0422</t>
  </si>
  <si>
    <t>Shirahatti</t>
  </si>
  <si>
    <t>129/8</t>
  </si>
  <si>
    <t>Revanasiddappa Hugar</t>
  </si>
  <si>
    <t>LND-0406</t>
  </si>
  <si>
    <t>66/8</t>
  </si>
  <si>
    <t>Suresh Reddy</t>
  </si>
  <si>
    <t>LND-0105</t>
  </si>
  <si>
    <t>Gut No. 230/2</t>
  </si>
  <si>
    <t>LND-0009</t>
  </si>
  <si>
    <t>882/2</t>
  </si>
  <si>
    <t>Shankar Wagh</t>
  </si>
  <si>
    <t>LND-0076</t>
  </si>
  <si>
    <t>Gut No. 565/3</t>
  </si>
  <si>
    <t>Dattatray Kale</t>
  </si>
  <si>
    <t>LND-0107</t>
  </si>
  <si>
    <t>Khanderajuri</t>
  </si>
  <si>
    <t>146/1</t>
  </si>
  <si>
    <t>Dnyandev Londhe</t>
  </si>
  <si>
    <t>LND-0174</t>
  </si>
  <si>
    <t>Kandhar</t>
  </si>
  <si>
    <t>Gut No. 466/9</t>
  </si>
  <si>
    <t>Anil Sutar</t>
  </si>
  <si>
    <t>LND-0500</t>
  </si>
  <si>
    <t>Gut No. 868/4</t>
  </si>
  <si>
    <t>Ramesh Hiremath</t>
  </si>
  <si>
    <t>LND-0117</t>
  </si>
  <si>
    <t>Gut No. 698/6</t>
  </si>
  <si>
    <t>Raju Wagh</t>
  </si>
  <si>
    <t>LND-0025</t>
  </si>
  <si>
    <t>Balasaheb Sawant</t>
  </si>
  <si>
    <t>LND-0463</t>
  </si>
  <si>
    <t>94/2</t>
  </si>
  <si>
    <t>Ramesh Hosamani</t>
  </si>
  <si>
    <t>LND-0304</t>
  </si>
  <si>
    <t>Bettadur</t>
  </si>
  <si>
    <t>Gut No. 306/2</t>
  </si>
  <si>
    <t>LND-0495</t>
  </si>
  <si>
    <t>Kanakagiri</t>
  </si>
  <si>
    <t>Gut No. 868/3</t>
  </si>
  <si>
    <t>Fakeerappa Reddy</t>
  </si>
  <si>
    <t>LND-0004</t>
  </si>
  <si>
    <t>Gut No. 81/9</t>
  </si>
  <si>
    <t>Popat Wagh</t>
  </si>
  <si>
    <t>LND-0034</t>
  </si>
  <si>
    <t>Gut No. 696/9</t>
  </si>
  <si>
    <t>Bhagwan Patil</t>
  </si>
  <si>
    <t>LND-0330</t>
  </si>
  <si>
    <t>Gut No. 873/8</t>
  </si>
  <si>
    <t>Siddappa Naik</t>
  </si>
  <si>
    <t>LND-0012</t>
  </si>
  <si>
    <t>Gut No. 781/3</t>
  </si>
  <si>
    <t>Vilas Naik</t>
  </si>
  <si>
    <t>LND-0393</t>
  </si>
  <si>
    <t>Turvihal</t>
  </si>
  <si>
    <t>754/4</t>
  </si>
  <si>
    <t>Eranna Nayak</t>
  </si>
  <si>
    <t>LND-0439</t>
  </si>
  <si>
    <t>Gut No. 537/1</t>
  </si>
  <si>
    <t>Gurusiddappa Bennur</t>
  </si>
  <si>
    <t>LND-0355</t>
  </si>
  <si>
    <t>657/2</t>
  </si>
  <si>
    <t>Nagaraj Doddamani</t>
  </si>
  <si>
    <t>LND-0037</t>
  </si>
  <si>
    <t>Omerga</t>
  </si>
  <si>
    <t>738/5</t>
  </si>
  <si>
    <t>Anil Pawar</t>
  </si>
  <si>
    <t>LND-0362</t>
  </si>
  <si>
    <t>580/6</t>
  </si>
  <si>
    <t>LND-0383</t>
  </si>
  <si>
    <t>Mundargi</t>
  </si>
  <si>
    <t>766/4</t>
  </si>
  <si>
    <t>Channappa Desai</t>
  </si>
  <si>
    <t>LND-0368</t>
  </si>
  <si>
    <t>531/6</t>
  </si>
  <si>
    <t>Mahantappa Biradar</t>
  </si>
  <si>
    <t>LND-0236</t>
  </si>
  <si>
    <t>Velapur</t>
  </si>
  <si>
    <t>Gut No. 849/4</t>
  </si>
  <si>
    <t>Kisan Kadam</t>
  </si>
  <si>
    <t>LND-0206</t>
  </si>
  <si>
    <t>Gut No. 55/2</t>
  </si>
  <si>
    <t>Mahadev Gaikwad</t>
  </si>
  <si>
    <t>LND-0192</t>
  </si>
  <si>
    <t>Gut No. 868/6</t>
  </si>
  <si>
    <t>Dnyandev Chavan</t>
  </si>
  <si>
    <t>LND-0395</t>
  </si>
  <si>
    <t>Gut No. 228/3</t>
  </si>
  <si>
    <t>Shivanand Hiremath</t>
  </si>
  <si>
    <t>LND-0260</t>
  </si>
  <si>
    <t>955/7</t>
  </si>
  <si>
    <t>Ramesh Gaikwad</t>
  </si>
  <si>
    <t>LND-0275</t>
  </si>
  <si>
    <t>Hospet</t>
  </si>
  <si>
    <t>181/4</t>
  </si>
  <si>
    <t>Rajesh Hugar</t>
  </si>
  <si>
    <t>LND-0468</t>
  </si>
  <si>
    <t>Gut No. 340/2</t>
  </si>
  <si>
    <t>Shivanand Gowda</t>
  </si>
  <si>
    <t>LND-0186</t>
  </si>
  <si>
    <t>Umarga</t>
  </si>
  <si>
    <t>Gut No. 545/7</t>
  </si>
  <si>
    <t>Sopan Gaikwad</t>
  </si>
  <si>
    <t>LND-0154</t>
  </si>
  <si>
    <t>Deoni</t>
  </si>
  <si>
    <t>Gut No. 209/6</t>
  </si>
  <si>
    <t>Balasaheb Kulkarni</t>
  </si>
  <si>
    <t>LND-0315</t>
  </si>
  <si>
    <t>Kolhar</t>
  </si>
  <si>
    <t>Gut No. 445/3</t>
  </si>
  <si>
    <t>Gurusiddappa Biradar</t>
  </si>
  <si>
    <t>LND-0430</t>
  </si>
  <si>
    <t>Nargund</t>
  </si>
  <si>
    <t>968/4</t>
  </si>
  <si>
    <t>Ashok Gowda</t>
  </si>
  <si>
    <t>LND-0169</t>
  </si>
  <si>
    <t>Gut No. 766/8</t>
  </si>
  <si>
    <t>Ganpat Kale</t>
  </si>
  <si>
    <t>LND-0499</t>
  </si>
  <si>
    <t>Gut No. 639/3</t>
  </si>
  <si>
    <t>Channappa Hiremath</t>
  </si>
  <si>
    <t>LND-0116</t>
  </si>
  <si>
    <t>Sangola</t>
  </si>
  <si>
    <t>Gut No. 203/3</t>
  </si>
  <si>
    <t>LND-0358</t>
  </si>
  <si>
    <t>43/1</t>
  </si>
  <si>
    <t>Rajesh Gudadinni</t>
  </si>
  <si>
    <t>LND-0246</t>
  </si>
  <si>
    <t>Wagholi</t>
  </si>
  <si>
    <t>Gut No. 987/7</t>
  </si>
  <si>
    <t>Bhagwan Kulkarni</t>
  </si>
  <si>
    <t>LND-0486</t>
  </si>
  <si>
    <t>Gut No. 632/6</t>
  </si>
  <si>
    <t>Fakeerappa Hugar</t>
  </si>
  <si>
    <t>LND-0449</t>
  </si>
  <si>
    <t>191/4</t>
  </si>
  <si>
    <t>Ashok Hosamani</t>
  </si>
  <si>
    <t>LND-0389</t>
  </si>
  <si>
    <t>516/5</t>
  </si>
  <si>
    <t>Gurusiddappa Gowda</t>
  </si>
  <si>
    <t>LND-0235</t>
  </si>
  <si>
    <t>Gut No. 976/9</t>
  </si>
  <si>
    <t>Subhash Deshmukh</t>
  </si>
  <si>
    <t>LND-0390</t>
  </si>
  <si>
    <t>776/6</t>
  </si>
  <si>
    <t>Nagaraj Hosamani</t>
  </si>
  <si>
    <t>LND-0299</t>
  </si>
  <si>
    <t>178/4</t>
  </si>
  <si>
    <t>Nagappa Reddy</t>
  </si>
  <si>
    <t>LND-0152</t>
  </si>
  <si>
    <t>Gut No. 667/4</t>
  </si>
  <si>
    <t>Kisan Sawant</t>
  </si>
  <si>
    <t>LND-0411</t>
  </si>
  <si>
    <t>Yelburga</t>
  </si>
  <si>
    <t>Gut No. 307/1</t>
  </si>
  <si>
    <t>Nagaraj Kamble</t>
  </si>
  <si>
    <t>LND-0470</t>
  </si>
  <si>
    <t>Gut No. 338/9</t>
  </si>
  <si>
    <t>Yankappa Hiremath</t>
  </si>
  <si>
    <t>LND-0436</t>
  </si>
  <si>
    <t>Basavana Bagewadi</t>
  </si>
  <si>
    <t>Gut No. 376/4</t>
  </si>
  <si>
    <t>LND-0487</t>
  </si>
  <si>
    <t>Gut No. 100/8</t>
  </si>
  <si>
    <t>Fakeerappa Honnalli</t>
  </si>
  <si>
    <t>LND-0183</t>
  </si>
  <si>
    <t>Naldurg</t>
  </si>
  <si>
    <t>593/2</t>
  </si>
  <si>
    <t>Suresh Thorat</t>
  </si>
  <si>
    <t>LND-0309</t>
  </si>
  <si>
    <t>Gut No. 475/2</t>
  </si>
  <si>
    <t>Devendrappa Reddy</t>
  </si>
  <si>
    <t>LND-0178</t>
  </si>
  <si>
    <t>684/2</t>
  </si>
  <si>
    <t>Arjun Pawar</t>
  </si>
  <si>
    <t>LND-0344</t>
  </si>
  <si>
    <t>Gut No. 427/6</t>
  </si>
  <si>
    <t>LND-0125</t>
  </si>
  <si>
    <t>Gut No. 158/3</t>
  </si>
  <si>
    <t>Pandhari Murkute</t>
  </si>
  <si>
    <t>LND-0364</t>
  </si>
  <si>
    <t>913/9</t>
  </si>
  <si>
    <t>Nagappa Swamy</t>
  </si>
  <si>
    <t>LND-0382</t>
  </si>
  <si>
    <t>Gut No. 184/6</t>
  </si>
  <si>
    <t>Suresh Bennur</t>
  </si>
  <si>
    <t>LND-0250</t>
  </si>
  <si>
    <t>Yednapur</t>
  </si>
  <si>
    <t>Gut No. 434/7</t>
  </si>
  <si>
    <t>Dnyandev Wagh</t>
  </si>
  <si>
    <t>LND-0371</t>
  </si>
  <si>
    <t>527/5</t>
  </si>
  <si>
    <t>LND-0365</t>
  </si>
  <si>
    <t>Gut No. 788/4</t>
  </si>
  <si>
    <t>Shivanand Bennur</t>
  </si>
  <si>
    <t>LND-0179</t>
  </si>
  <si>
    <t>981/3</t>
  </si>
  <si>
    <t>Sanjay Kulkarni</t>
  </si>
  <si>
    <t>LND-0077</t>
  </si>
  <si>
    <t>290/5</t>
  </si>
  <si>
    <t>Sopan Sawant</t>
  </si>
  <si>
    <t>LND-0049</t>
  </si>
  <si>
    <t>Gut No. 259/2</t>
  </si>
  <si>
    <t>Sanjay Patil</t>
  </si>
  <si>
    <t>LND-0450</t>
  </si>
  <si>
    <t>Gut No. 502/7</t>
  </si>
  <si>
    <t>Srinivas Desai</t>
  </si>
  <si>
    <t>LND-0213</t>
  </si>
  <si>
    <t>Gut No. 609/4</t>
  </si>
  <si>
    <t>Arjun Deshmukh</t>
  </si>
  <si>
    <t>LND-0011</t>
  </si>
  <si>
    <t>Gut No. 996/9</t>
  </si>
  <si>
    <t>Kisan More</t>
  </si>
  <si>
    <t>LND-0280</t>
  </si>
  <si>
    <t>Gut No. 752/5</t>
  </si>
  <si>
    <t>Hanumantha Desai</t>
  </si>
  <si>
    <t>LND-0476</t>
  </si>
  <si>
    <t>Gut No. 579/6</t>
  </si>
  <si>
    <t>LND-0052</t>
  </si>
  <si>
    <t>Shirur Anantpal</t>
  </si>
  <si>
    <t>952/5</t>
  </si>
  <si>
    <t>Pramod Kadam</t>
  </si>
  <si>
    <t>LND-0417</t>
  </si>
  <si>
    <t>Gut No. 795/7</t>
  </si>
  <si>
    <t>Mallappa Bennur</t>
  </si>
  <si>
    <t>LND-0353</t>
  </si>
  <si>
    <t>765/3</t>
  </si>
  <si>
    <t>Basavaraj Hosamani</t>
  </si>
  <si>
    <t>LND-0118</t>
  </si>
  <si>
    <t>318/8</t>
  </si>
  <si>
    <t>Arjun Shinde</t>
  </si>
  <si>
    <t>LND-0021</t>
  </si>
  <si>
    <t>Gut No. 714/9</t>
  </si>
  <si>
    <t>Subhash Murkute</t>
  </si>
  <si>
    <t>LND-0088</t>
  </si>
  <si>
    <t>317/8</t>
  </si>
  <si>
    <t>Suresh Sawant</t>
  </si>
  <si>
    <t>LND-0333</t>
  </si>
  <si>
    <t>Gut No. 974/6</t>
  </si>
  <si>
    <t>LND-0094</t>
  </si>
  <si>
    <t>Lonand</t>
  </si>
  <si>
    <t>Gut No. 962/5</t>
  </si>
  <si>
    <t>Suresh Murkute</t>
  </si>
  <si>
    <t>LND-0024</t>
  </si>
  <si>
    <t>Gut No. 958/5</t>
  </si>
  <si>
    <t>Ganpat Kadam</t>
  </si>
  <si>
    <t>LND-0284</t>
  </si>
  <si>
    <t>Gut No. 21/6</t>
  </si>
  <si>
    <t>Eranna Gowda</t>
  </si>
  <si>
    <t>LND-0346</t>
  </si>
  <si>
    <t>387/1</t>
  </si>
  <si>
    <t>Yankappa Swamy</t>
  </si>
  <si>
    <t>LND-0015</t>
  </si>
  <si>
    <t>Gut No. 124/4</t>
  </si>
  <si>
    <t>Rajendra Jadhav</t>
  </si>
  <si>
    <t>LND-0479</t>
  </si>
  <si>
    <t>936/2</t>
  </si>
  <si>
    <t>LND-0400</t>
  </si>
  <si>
    <t>Gut No. 805/8</t>
  </si>
  <si>
    <t>Fakeerappa Swamy</t>
  </si>
  <si>
    <t>LND-0175</t>
  </si>
  <si>
    <t>Gut No. 664/5</t>
  </si>
  <si>
    <t>Laxman More</t>
  </si>
  <si>
    <t>LND-0366</t>
  </si>
  <si>
    <t>Wadagera</t>
  </si>
  <si>
    <t>407/6</t>
  </si>
  <si>
    <t>Ashok Patil</t>
  </si>
  <si>
    <t>LND-0266</t>
  </si>
  <si>
    <t>Shankar Jadhav</t>
  </si>
  <si>
    <t>LND-0138</t>
  </si>
  <si>
    <t>Gut No. 260/1</t>
  </si>
  <si>
    <t>Kisan Wagh</t>
  </si>
  <si>
    <t>LND-0308</t>
  </si>
  <si>
    <t>970/6</t>
  </si>
  <si>
    <t>Prakash Naik</t>
  </si>
  <si>
    <t>LND-0279</t>
  </si>
  <si>
    <t>Gut No. 331/3</t>
  </si>
  <si>
    <t>Siddappa Kamble</t>
  </si>
  <si>
    <t>LND-0341</t>
  </si>
  <si>
    <t>Hampi</t>
  </si>
  <si>
    <t>Gut No. 691/9</t>
  </si>
  <si>
    <t>Fakeerappa Kamble</t>
  </si>
  <si>
    <t>LND-0220</t>
  </si>
  <si>
    <t>457/6</t>
  </si>
  <si>
    <t>Dattatray Dhole</t>
  </si>
  <si>
    <t>LND-0210</t>
  </si>
  <si>
    <t>Gut No. 106/1</t>
  </si>
  <si>
    <t>Dnyandev Waghmare</t>
  </si>
  <si>
    <t>LND-0377</t>
  </si>
  <si>
    <t>96/8</t>
  </si>
  <si>
    <t>Santosh Kulkarni</t>
  </si>
  <si>
    <t>LND-0441</t>
  </si>
  <si>
    <t>Gut No. 269/2</t>
  </si>
  <si>
    <t>Mahantappa Hiremath</t>
  </si>
  <si>
    <t>LND-0494</t>
  </si>
  <si>
    <t>Gut No. 201/4</t>
  </si>
  <si>
    <t>Santosh Hugar</t>
  </si>
  <si>
    <t>LND-0405</t>
  </si>
  <si>
    <t>Tikota</t>
  </si>
  <si>
    <t>Gut No. 424/3</t>
  </si>
  <si>
    <t>Siddappa Patil</t>
  </si>
  <si>
    <t>LND-0427</t>
  </si>
  <si>
    <t>856/3</t>
  </si>
  <si>
    <t>Siddappa Reddy</t>
  </si>
  <si>
    <t>LND-0256</t>
  </si>
  <si>
    <t>46/1</t>
  </si>
  <si>
    <t>Rajendra Shinde</t>
  </si>
  <si>
    <t>LND-0324</t>
  </si>
  <si>
    <t>Gut No. 757/2</t>
  </si>
  <si>
    <t>Veeranna Reddy</t>
  </si>
  <si>
    <t>LND-0208</t>
  </si>
  <si>
    <t>275/3</t>
  </si>
  <si>
    <t>Dattatray Murkute</t>
  </si>
  <si>
    <t>LND-0442</t>
  </si>
  <si>
    <t>575/9</t>
  </si>
  <si>
    <t>Revanasiddappa Hegde</t>
  </si>
  <si>
    <t>LND-0481</t>
  </si>
  <si>
    <t>Shivanand Gudadinni</t>
  </si>
  <si>
    <t>LND-0217</t>
  </si>
  <si>
    <t>Natepute</t>
  </si>
  <si>
    <t>839/7</t>
  </si>
  <si>
    <t>Subhash Sutar</t>
  </si>
  <si>
    <t>LND-0104</t>
  </si>
  <si>
    <t>Gut No. 687/2</t>
  </si>
  <si>
    <t>Mahadev Waghmare</t>
  </si>
  <si>
    <t>LND-0261</t>
  </si>
  <si>
    <t>Gut No. 107/4</t>
  </si>
  <si>
    <t>Anil Gaikwad</t>
  </si>
  <si>
    <t>LND-0123</t>
  </si>
  <si>
    <t>687/9</t>
  </si>
  <si>
    <t>LND-0475</t>
  </si>
  <si>
    <t>Gurumitkal</t>
  </si>
  <si>
    <t>Gut No. 939/8</t>
  </si>
  <si>
    <t>Shivanand Honnalli</t>
  </si>
  <si>
    <t>LND-0198</t>
  </si>
  <si>
    <t>Gut No. 189/9</t>
  </si>
  <si>
    <t>Ashok Shinde</t>
  </si>
  <si>
    <t>LND-0471</t>
  </si>
  <si>
    <t>Gut No. 438/6</t>
  </si>
  <si>
    <t>Eranna Hiremath</t>
  </si>
  <si>
    <t>LND-0283</t>
  </si>
  <si>
    <t>906/7</t>
  </si>
  <si>
    <t>Devendrappa Lamani</t>
  </si>
  <si>
    <t>LND-0474</t>
  </si>
  <si>
    <t>Horti</t>
  </si>
  <si>
    <t>Gut No. 786/1</t>
  </si>
  <si>
    <t>Veeranna Hugar</t>
  </si>
  <si>
    <t>LND-0349</t>
  </si>
  <si>
    <t>Gut No. 340/6</t>
  </si>
  <si>
    <t>Fakeerappa Nayak</t>
  </si>
  <si>
    <t>LND-0101</t>
  </si>
  <si>
    <t>Gut No. 465/9</t>
  </si>
  <si>
    <t>Balasaheb Thorat</t>
  </si>
  <si>
    <t>LND-0232</t>
  </si>
  <si>
    <t>Gut No. 556/1</t>
  </si>
  <si>
    <t>Kisan Londhe</t>
  </si>
  <si>
    <t>LND-0085</t>
  </si>
  <si>
    <t>Gut No. 968/6</t>
  </si>
  <si>
    <t>Pramod Pawar</t>
  </si>
  <si>
    <t>LND-0404</t>
  </si>
  <si>
    <t>166/6</t>
  </si>
  <si>
    <t>LND-0245</t>
  </si>
  <si>
    <t>942/7</t>
  </si>
  <si>
    <t>Balasaheb Kadam</t>
  </si>
  <si>
    <t>LND-0069</t>
  </si>
  <si>
    <t>94/4</t>
  </si>
  <si>
    <t>Subhash Sawant</t>
  </si>
  <si>
    <t>LND-0467</t>
  </si>
  <si>
    <t>51/3</t>
  </si>
  <si>
    <t>Hanumantha Reddy</t>
  </si>
  <si>
    <t>LND-0276</t>
  </si>
  <si>
    <t>857/8</t>
  </si>
  <si>
    <t>Suresh Rao</t>
  </si>
  <si>
    <t>LND-0010</t>
  </si>
  <si>
    <t>Naigaon</t>
  </si>
  <si>
    <t>699/9</t>
  </si>
  <si>
    <t>LND-0482</t>
  </si>
  <si>
    <t>592/5</t>
  </si>
  <si>
    <t>Prakash Nayak</t>
  </si>
  <si>
    <t>LND-0001</t>
  </si>
  <si>
    <t>229/3</t>
  </si>
  <si>
    <t>Shriram Deshmukh</t>
  </si>
  <si>
    <t>LND-0164</t>
  </si>
  <si>
    <t>739/1</t>
  </si>
  <si>
    <t>Pramod Sutar</t>
  </si>
  <si>
    <t>LND-0168</t>
  </si>
  <si>
    <t>Gut No. 918/7</t>
  </si>
  <si>
    <t>Sopan Waghmare</t>
  </si>
  <si>
    <t>LND-0288</t>
  </si>
  <si>
    <t>Gut No. 501/5</t>
  </si>
  <si>
    <t>Mallappa Honnalli</t>
  </si>
  <si>
    <t>LND-0128</t>
  </si>
  <si>
    <t>Gut No. 568/2</t>
  </si>
  <si>
    <t>Laxman Naik</t>
  </si>
  <si>
    <t>LND-0348</t>
  </si>
  <si>
    <t>980/3</t>
  </si>
  <si>
    <t>Ashok Naik</t>
  </si>
  <si>
    <t>LND-0318</t>
  </si>
  <si>
    <t>Gut No. 390/2</t>
  </si>
  <si>
    <t>Suresh Swamy</t>
  </si>
  <si>
    <t>LND-0115</t>
  </si>
  <si>
    <t>342/3</t>
  </si>
  <si>
    <t>LND-0466</t>
  </si>
  <si>
    <t>Gut No. 557/1</t>
  </si>
  <si>
    <t>Anil Biradar</t>
  </si>
  <si>
    <t>LND-0418</t>
  </si>
  <si>
    <t>Gut No. 790/8</t>
  </si>
  <si>
    <t>Revanasiddappa Reddy</t>
  </si>
  <si>
    <t>LND-0187</t>
  </si>
  <si>
    <t>Varkute Malharvadi</t>
  </si>
  <si>
    <t>247/4</t>
  </si>
  <si>
    <t>Dnyandev Deshmukh</t>
  </si>
  <si>
    <t>LND-0421</t>
  </si>
  <si>
    <t>Gut No. 705/3</t>
  </si>
  <si>
    <t>Lingappa Naik</t>
  </si>
  <si>
    <t>LND-0255</t>
  </si>
  <si>
    <t>512/3</t>
  </si>
  <si>
    <t>Narayan More</t>
  </si>
  <si>
    <t>LND-0443</t>
  </si>
  <si>
    <t>329/6</t>
  </si>
  <si>
    <t>Anil Honnalli</t>
  </si>
  <si>
    <t>LND-0485</t>
  </si>
  <si>
    <t>30/8</t>
  </si>
  <si>
    <t>Santosh Reddy</t>
  </si>
  <si>
    <t>LND-0053</t>
  </si>
  <si>
    <t>816/1</t>
  </si>
  <si>
    <t>LND-0459</t>
  </si>
  <si>
    <t>Gajendragad</t>
  </si>
  <si>
    <t>534/2</t>
  </si>
  <si>
    <t>Channappa Hosamani</t>
  </si>
  <si>
    <t>LND-0227</t>
  </si>
  <si>
    <t>834/5</t>
  </si>
  <si>
    <t>LND-0055</t>
  </si>
  <si>
    <t>851/2</t>
  </si>
  <si>
    <t>Santosh Dhole</t>
  </si>
  <si>
    <t>LND-0301</t>
  </si>
  <si>
    <t>292/1</t>
  </si>
  <si>
    <t>Mahantappa Reddy</t>
  </si>
  <si>
    <t>LND-0221</t>
  </si>
  <si>
    <t>119/3</t>
  </si>
  <si>
    <t>Narayan Pawar</t>
  </si>
  <si>
    <t>LND-0074</t>
  </si>
  <si>
    <t>30/4</t>
  </si>
  <si>
    <t>LND-0056</t>
  </si>
  <si>
    <t>364/5</t>
  </si>
  <si>
    <t>Bhagwan Mane</t>
  </si>
  <si>
    <t>LND-0458</t>
  </si>
  <si>
    <t>Gut No. 888/8</t>
  </si>
  <si>
    <t>Revanasiddappa Kamble</t>
  </si>
  <si>
    <t>LND-0345</t>
  </si>
  <si>
    <t>795/4</t>
  </si>
  <si>
    <t>Fakeerappa Hosamani</t>
  </si>
  <si>
    <t>LND-0202</t>
  </si>
  <si>
    <t>96/7</t>
  </si>
  <si>
    <t>Dattatray Bhosale</t>
  </si>
  <si>
    <t>LND-0103</t>
  </si>
  <si>
    <t>Gut No. 69/2</t>
  </si>
  <si>
    <t>Sopan Jadhav</t>
  </si>
  <si>
    <t>LND-0252</t>
  </si>
  <si>
    <t>Halge</t>
  </si>
  <si>
    <t>251/2</t>
  </si>
  <si>
    <t>Mahadev Deshmukh</t>
  </si>
  <si>
    <t>LND-0036</t>
  </si>
  <si>
    <t>726/7</t>
  </si>
  <si>
    <t>Ramesh Naik</t>
  </si>
  <si>
    <t>LND-0424</t>
  </si>
  <si>
    <t>Hanumantha Hosamani</t>
  </si>
  <si>
    <t>LND-0092</t>
  </si>
  <si>
    <t>Gut No. 938/4</t>
  </si>
  <si>
    <t>Ashok Jadhav</t>
  </si>
  <si>
    <t>LND-0369</t>
  </si>
  <si>
    <t>Gut No. 855/5</t>
  </si>
  <si>
    <t>Rajesh Bennur</t>
  </si>
  <si>
    <t>LND-0133</t>
  </si>
  <si>
    <t>Gut No. 65/2</t>
  </si>
  <si>
    <t>Sopan Sutar</t>
  </si>
  <si>
    <t>LND-0031</t>
  </si>
  <si>
    <t>948/4</t>
  </si>
  <si>
    <t>Raju More</t>
  </si>
  <si>
    <t>LND-0171</t>
  </si>
  <si>
    <t>698/3</t>
  </si>
  <si>
    <t>Ramesh Chavan</t>
  </si>
  <si>
    <t>LND-0199</t>
  </si>
  <si>
    <t>70/3</t>
  </si>
  <si>
    <t>Ramesh Kale</t>
  </si>
  <si>
    <t>LND-0347</t>
  </si>
  <si>
    <t>Nidagundi</t>
  </si>
  <si>
    <t>158/6</t>
  </si>
  <si>
    <t>Anil Reddy</t>
  </si>
  <si>
    <t>LND-0434</t>
  </si>
  <si>
    <t>Gut No. 611/1</t>
  </si>
  <si>
    <t>LND-0286</t>
  </si>
  <si>
    <t>Jevargi</t>
  </si>
  <si>
    <t>Gut No. 677/5</t>
  </si>
  <si>
    <t>Fakeerappa Hegde</t>
  </si>
  <si>
    <t>LND-0038</t>
  </si>
  <si>
    <t>Kanheri Sarap</t>
  </si>
  <si>
    <t>631/5</t>
  </si>
  <si>
    <t>Dattatray Chavan</t>
  </si>
  <si>
    <t>LND-0083</t>
  </si>
  <si>
    <t>Yedshi</t>
  </si>
  <si>
    <t>Gut No. 384/7</t>
  </si>
  <si>
    <t>Shankar Gaikwad</t>
  </si>
  <si>
    <t>LND-0408</t>
  </si>
  <si>
    <t>Gut No. 885/8</t>
  </si>
  <si>
    <t>Channappa Bennur</t>
  </si>
  <si>
    <t>LND-0166</t>
  </si>
  <si>
    <t>Gut No. 980/3</t>
  </si>
  <si>
    <t>Arjun Chavan</t>
  </si>
  <si>
    <t>LND-0219</t>
  </si>
  <si>
    <t>Mulegaon</t>
  </si>
  <si>
    <t>663/1</t>
  </si>
  <si>
    <t>Pramod Wagh</t>
  </si>
  <si>
    <t>LND-0142</t>
  </si>
  <si>
    <t>147/8</t>
  </si>
  <si>
    <t>Suresh Kulkarni</t>
  </si>
  <si>
    <t>LND-0455</t>
  </si>
  <si>
    <t>27/5</t>
  </si>
  <si>
    <t>Anil Doddamani</t>
  </si>
  <si>
    <t>LND-0039</t>
  </si>
  <si>
    <t>Gut No. 453/4</t>
  </si>
  <si>
    <t>LND-0240</t>
  </si>
  <si>
    <t>Bhigwan</t>
  </si>
  <si>
    <t>128/3</t>
  </si>
  <si>
    <t>Arjun Dhole</t>
  </si>
  <si>
    <t>LND-0446</t>
  </si>
  <si>
    <t>Gut No. 215/9</t>
  </si>
  <si>
    <t>Nagappa Nayak</t>
  </si>
  <si>
    <t>LND-0413</t>
  </si>
  <si>
    <t>Gut No. 292/9</t>
  </si>
  <si>
    <t>Eranna Kamble</t>
  </si>
  <si>
    <t>LND-0429</t>
  </si>
  <si>
    <t>Gut No. 821/1</t>
  </si>
  <si>
    <t>Lingappa Bennur</t>
  </si>
  <si>
    <t>LND-0057</t>
  </si>
  <si>
    <t>Gut No. 569/4</t>
  </si>
  <si>
    <t>LND-0095</t>
  </si>
  <si>
    <t>408/5</t>
  </si>
  <si>
    <t>Ganpat Deshmukh</t>
  </si>
  <si>
    <t>LND-0290</t>
  </si>
  <si>
    <t>Gut No. 828/9</t>
  </si>
  <si>
    <t>LND-0193</t>
  </si>
  <si>
    <t>824/9</t>
  </si>
  <si>
    <t>Ganpat Sutar</t>
  </si>
  <si>
    <t>LND-0067</t>
  </si>
  <si>
    <t>62/3</t>
  </si>
  <si>
    <t>Tukaram Pawar</t>
  </si>
  <si>
    <t>LND-0045</t>
  </si>
  <si>
    <t>Gut No. 426/1</t>
  </si>
  <si>
    <t>Ganpat Thorat</t>
  </si>
  <si>
    <t>LND-0062</t>
  </si>
  <si>
    <t>411/8</t>
  </si>
  <si>
    <t>Dnyandev Sawant</t>
  </si>
  <si>
    <t>LND-0063</t>
  </si>
  <si>
    <t>255/2</t>
  </si>
  <si>
    <t>LND-0112</t>
  </si>
  <si>
    <t>Gut No. 74/7</t>
  </si>
  <si>
    <t>Raju Londhe</t>
  </si>
  <si>
    <t>LND-0030</t>
  </si>
  <si>
    <t>Gut No. 921/1</t>
  </si>
  <si>
    <t>Narayan Kale</t>
  </si>
  <si>
    <t>LND-0048</t>
  </si>
  <si>
    <t>888/8</t>
  </si>
  <si>
    <t>Pandhari Shinde</t>
  </si>
  <si>
    <t>LND-0013</t>
  </si>
  <si>
    <t>Mhaswad</t>
  </si>
  <si>
    <t>247/2</t>
  </si>
  <si>
    <t>LND-0018</t>
  </si>
  <si>
    <t>Gut No. 820/2</t>
  </si>
  <si>
    <t>Rajendra Kale</t>
  </si>
  <si>
    <t>LND-0099</t>
  </si>
  <si>
    <t>463/9</t>
  </si>
  <si>
    <t>Rajendra Yadav</t>
  </si>
  <si>
    <t>LND-0129</t>
  </si>
  <si>
    <t>Gut No. 94/4</t>
  </si>
  <si>
    <t>Sopan Dhole</t>
  </si>
  <si>
    <t>LND-0146</t>
  </si>
  <si>
    <t>Renapur</t>
  </si>
  <si>
    <t>Gut No. 684/6</t>
  </si>
  <si>
    <t>Laxman Jadhav</t>
  </si>
  <si>
    <t>LND-0113</t>
  </si>
  <si>
    <t>Gut No. 588/7</t>
  </si>
  <si>
    <t>Laxman Wagh</t>
  </si>
  <si>
    <t>LND-0180</t>
  </si>
  <si>
    <t>539/8</t>
  </si>
  <si>
    <t>Anil Murkute</t>
  </si>
  <si>
    <t>LND-0398</t>
  </si>
  <si>
    <t>Devadurga</t>
  </si>
  <si>
    <t>Gut No. 374/7</t>
  </si>
  <si>
    <t>Eranna Hosamani</t>
  </si>
  <si>
    <t>LND-0054</t>
  </si>
  <si>
    <t>Gut No. 984/6</t>
  </si>
  <si>
    <t>Ashok Dhole</t>
  </si>
  <si>
    <t>LND-0269</t>
  </si>
  <si>
    <t>925/8</t>
  </si>
  <si>
    <t>Tukaram Kulkarni</t>
  </si>
  <si>
    <t>LND-0332</t>
  </si>
  <si>
    <t>414/7</t>
  </si>
  <si>
    <t>LND-0211</t>
  </si>
  <si>
    <t>586/9</t>
  </si>
  <si>
    <t>Pandhari Kadam</t>
  </si>
  <si>
    <t>LND-0357</t>
  </si>
  <si>
    <t>765/7</t>
  </si>
  <si>
    <t>LND-0035</t>
  </si>
  <si>
    <t>Gut No. 747/6</t>
  </si>
  <si>
    <t>Mahadev Yadav</t>
  </si>
  <si>
    <t>LND-0005</t>
  </si>
  <si>
    <t>Gut No. 82/4</t>
  </si>
  <si>
    <t>Raju Deshmukh</t>
  </si>
  <si>
    <t>LND-0457</t>
  </si>
  <si>
    <t>Gut No. 783/1</t>
  </si>
  <si>
    <t>LND-0281</t>
  </si>
  <si>
    <t>340/2</t>
  </si>
  <si>
    <t>Revanasiddappa Angadi</t>
  </si>
  <si>
    <t>LND-0161</t>
  </si>
  <si>
    <t>Gut No. 513/1</t>
  </si>
  <si>
    <t>Suresh Shinde</t>
  </si>
  <si>
    <t>LND-0391</t>
  </si>
  <si>
    <t>Gut No. 649/4</t>
  </si>
  <si>
    <t>Santosh Hegde</t>
  </si>
  <si>
    <t>LND-0173</t>
  </si>
  <si>
    <t>Gut No. 807/8</t>
  </si>
  <si>
    <t>Pandhari Londhe</t>
  </si>
  <si>
    <t>LND-0267</t>
  </si>
  <si>
    <t>Gut No. 876/8</t>
  </si>
  <si>
    <t>Vilas Londhe</t>
  </si>
  <si>
    <t>LND-0100</t>
  </si>
  <si>
    <t>503/8</t>
  </si>
  <si>
    <t>Dnyandev Jadhav</t>
  </si>
  <si>
    <t>LND-0302</t>
  </si>
  <si>
    <t>Almel</t>
  </si>
  <si>
    <t>886/1</t>
  </si>
  <si>
    <t>Devendrappa Kulkarni</t>
  </si>
  <si>
    <t>LND-0124</t>
  </si>
  <si>
    <t>Gut No. 197/4</t>
  </si>
  <si>
    <t>Shankar Kulkarni</t>
  </si>
  <si>
    <t>LND-0237</t>
  </si>
  <si>
    <t>413/9</t>
  </si>
  <si>
    <t>Shriram Mane</t>
  </si>
  <si>
    <t>LND-0201</t>
  </si>
  <si>
    <t>Morgaon</t>
  </si>
  <si>
    <t>197/9</t>
  </si>
  <si>
    <t>Santosh Waghmare</t>
  </si>
  <si>
    <t>LND-0300</t>
  </si>
  <si>
    <t>Gut No. 651/2</t>
  </si>
  <si>
    <t>Santosh Patil</t>
  </si>
  <si>
    <t>LND-0131</t>
  </si>
  <si>
    <t>Gut No. 713/3</t>
  </si>
  <si>
    <t>Kisan Murkute</t>
  </si>
  <si>
    <t>LND-0051</t>
  </si>
  <si>
    <t>Gut No. 717/5</t>
  </si>
  <si>
    <t>Kisan Waghmare</t>
  </si>
  <si>
    <t>LND-0137</t>
  </si>
  <si>
    <t>65/8</t>
  </si>
  <si>
    <t>Suresh Pawar</t>
  </si>
  <si>
    <t>LND-0139</t>
  </si>
  <si>
    <t>Gut No. 762/8</t>
  </si>
  <si>
    <t>LND-0172</t>
  </si>
  <si>
    <t>Gut No. 662/1</t>
  </si>
  <si>
    <t>Kisan Jadhav</t>
  </si>
  <si>
    <t>LND-0140</t>
  </si>
  <si>
    <t>559/5</t>
  </si>
  <si>
    <t>Bhagwan Deshmukh</t>
  </si>
  <si>
    <t>LND-0334</t>
  </si>
  <si>
    <t>350/6</t>
  </si>
  <si>
    <t>Prakash Rao</t>
  </si>
  <si>
    <t>LND-0477</t>
  </si>
  <si>
    <t>Gut No. 642/9</t>
  </si>
  <si>
    <t>Siddappa Doddamani</t>
  </si>
  <si>
    <t>LND-0222</t>
  </si>
  <si>
    <t>Gut No. 327/2</t>
  </si>
  <si>
    <t>Popat Shinde</t>
  </si>
  <si>
    <t>LND-0182</t>
  </si>
  <si>
    <t>Gut No. 468/1</t>
  </si>
  <si>
    <t>Vilas Dhole</t>
  </si>
  <si>
    <t>LND-0451</t>
  </si>
  <si>
    <t>Gut No. 900/7</t>
  </si>
  <si>
    <t>Basavaraj Bennur</t>
  </si>
  <si>
    <t>LND-0360</t>
  </si>
  <si>
    <t>Gut No. 661/9</t>
  </si>
  <si>
    <t>Mallappa Rao</t>
  </si>
  <si>
    <t>LND-0050</t>
  </si>
  <si>
    <t>LND-0022</t>
  </si>
  <si>
    <t>Gut No. 59/1</t>
  </si>
  <si>
    <t>LND-0352</t>
  </si>
  <si>
    <t>172/9</t>
  </si>
  <si>
    <t>Suresh Patil</t>
  </si>
  <si>
    <t>LND-0162</t>
  </si>
  <si>
    <t>Gut No. 167/7</t>
  </si>
  <si>
    <t>LND-0196</t>
  </si>
  <si>
    <t>760/3</t>
  </si>
  <si>
    <t>Ramesh Mane</t>
  </si>
  <si>
    <t>LND-0230</t>
  </si>
  <si>
    <t>835/7</t>
  </si>
  <si>
    <t>LND-0148</t>
  </si>
  <si>
    <t>Gut No. 539/7</t>
  </si>
  <si>
    <t>Kisan Thorat</t>
  </si>
  <si>
    <t>LND-0007</t>
  </si>
  <si>
    <t>Gut No. 411/5</t>
  </si>
  <si>
    <t>Dnyandev Kale</t>
  </si>
  <si>
    <t>LND-0223</t>
  </si>
  <si>
    <t>953/4</t>
  </si>
  <si>
    <t>Anil More</t>
  </si>
  <si>
    <t>LND-0272</t>
  </si>
  <si>
    <t>646/9</t>
  </si>
  <si>
    <t>Basavaraj Lamani</t>
  </si>
  <si>
    <t>LND-0386</t>
  </si>
  <si>
    <t>630/3</t>
  </si>
  <si>
    <t>LND-0135</t>
  </si>
  <si>
    <t>400/8</t>
  </si>
  <si>
    <t>Suresh Wagh</t>
  </si>
  <si>
    <t>LND-0432</t>
  </si>
  <si>
    <t>Gut No. 517/6</t>
  </si>
  <si>
    <t>Santosh Desai</t>
  </si>
  <si>
    <t>LND-0200</t>
  </si>
  <si>
    <t>18/9</t>
  </si>
  <si>
    <t>LND-0350</t>
  </si>
  <si>
    <t>982/1</t>
  </si>
  <si>
    <t>LND-0195</t>
  </si>
  <si>
    <t>Gut No. 369/9</t>
  </si>
  <si>
    <t>Sanjay Dhole</t>
  </si>
  <si>
    <t>LND-0120</t>
  </si>
  <si>
    <t>41/4</t>
  </si>
  <si>
    <t>Laxman Dhole</t>
  </si>
  <si>
    <t>LND-0273</t>
  </si>
  <si>
    <t>Gut No. 277/3</t>
  </si>
  <si>
    <t>LND-0363</t>
  </si>
  <si>
    <t>Gut No. 899/8</t>
  </si>
  <si>
    <t>LND-0155</t>
  </si>
  <si>
    <t>327/4</t>
  </si>
  <si>
    <t>LND-0244</t>
  </si>
  <si>
    <t>392/3</t>
  </si>
  <si>
    <t>Ashok Kadam</t>
  </si>
  <si>
    <t>LND-0205</t>
  </si>
  <si>
    <t>771/7</t>
  </si>
  <si>
    <t>Dnyandev Pawar</t>
  </si>
  <si>
    <t>LND-0238</t>
  </si>
  <si>
    <t>749/8</t>
  </si>
  <si>
    <t>LND-0488</t>
  </si>
  <si>
    <t>Gut No. 188/6</t>
  </si>
  <si>
    <t>LND-0428</t>
  </si>
  <si>
    <t>Gut No. 51/6</t>
  </si>
  <si>
    <t>LND-0060</t>
  </si>
  <si>
    <t>Gut No. 103/4</t>
  </si>
  <si>
    <t>Popat Gaikwad</t>
  </si>
  <si>
    <t>LND-0136</t>
  </si>
  <si>
    <t>791/6</t>
  </si>
  <si>
    <t>Shankar Shinde</t>
  </si>
  <si>
    <t>LND-0329</t>
  </si>
  <si>
    <t>Gut No. 680/7</t>
  </si>
  <si>
    <t>Hanumantha Bennur</t>
  </si>
  <si>
    <t>LND-0461</t>
  </si>
  <si>
    <t>433/5</t>
  </si>
  <si>
    <t>LND-0177</t>
  </si>
  <si>
    <t>458/5</t>
  </si>
  <si>
    <t>Bhagwan Pawar</t>
  </si>
  <si>
    <t>LND-0296</t>
  </si>
  <si>
    <t>Gut No. 40/7</t>
  </si>
  <si>
    <t>Gurusiddappa Hegde</t>
  </si>
  <si>
    <t>LND-0108</t>
  </si>
  <si>
    <t>905/1</t>
  </si>
  <si>
    <t>Shankar More</t>
  </si>
  <si>
    <t>LND-0444</t>
  </si>
  <si>
    <t>947/4</t>
  </si>
  <si>
    <t>Nagappa Angadi</t>
  </si>
  <si>
    <t>LND-0327</t>
  </si>
  <si>
    <t>Gut No. 943/8</t>
  </si>
  <si>
    <t>LND-0372</t>
  </si>
  <si>
    <t>Gut No. 692/8</t>
  </si>
  <si>
    <t>Devendrappa Nayak</t>
  </si>
  <si>
    <t>LND-0226</t>
  </si>
  <si>
    <t>Gut No. 541/6</t>
  </si>
  <si>
    <t>Balasaheb Bhosale</t>
  </si>
  <si>
    <t>LND-0339</t>
  </si>
  <si>
    <t>Gut No. 864/9</t>
  </si>
  <si>
    <t>LND-0122</t>
  </si>
  <si>
    <t>Gut No. 318/7</t>
  </si>
  <si>
    <t>Shankar Yadav</t>
  </si>
  <si>
    <t>LND-0197</t>
  </si>
  <si>
    <t>512/9</t>
  </si>
  <si>
    <t>LND-0212</t>
  </si>
  <si>
    <t>446/5</t>
  </si>
  <si>
    <t>Mahadev Pawar</t>
  </si>
  <si>
    <t>LND-0254</t>
  </si>
  <si>
    <t>344/7</t>
  </si>
  <si>
    <t>Santosh Naik</t>
  </si>
  <si>
    <t>LND-0079</t>
  </si>
  <si>
    <t>Gut No. 680/3</t>
  </si>
  <si>
    <t>Sanjay Shinde</t>
  </si>
  <si>
    <t>LND-0305</t>
  </si>
  <si>
    <t>154/9</t>
  </si>
  <si>
    <t>Nagaraj Hegde</t>
  </si>
  <si>
    <t>LND-0075</t>
  </si>
  <si>
    <t>Gut No. 970/2</t>
  </si>
  <si>
    <t>LND-0044</t>
  </si>
  <si>
    <t>Gut No. 915/9</t>
  </si>
  <si>
    <t>Dnyandev Kulkarni</t>
  </si>
  <si>
    <t>LND-0460</t>
  </si>
  <si>
    <t>Kinnal</t>
  </si>
  <si>
    <t>572/7</t>
  </si>
  <si>
    <t>Ashok Honnalli</t>
  </si>
  <si>
    <t>LND-0017</t>
  </si>
  <si>
    <t>100/7</t>
  </si>
  <si>
    <t>Narayan Thorat</t>
  </si>
  <si>
    <t>LND-0271</t>
  </si>
  <si>
    <t>629/4</t>
  </si>
  <si>
    <t>LND-0093</t>
  </si>
  <si>
    <t>Gut No. 119/2</t>
  </si>
  <si>
    <t>Rajendra Chavan</t>
  </si>
  <si>
    <t>LND-0420</t>
  </si>
  <si>
    <t>242/7</t>
  </si>
  <si>
    <t>Gurusiddappa Patil</t>
  </si>
  <si>
    <t>LND-0121</t>
  </si>
  <si>
    <t>809/6</t>
  </si>
  <si>
    <t>Dnyandev Salve</t>
  </si>
  <si>
    <t>LND-0359</t>
  </si>
  <si>
    <t>423/9</t>
  </si>
  <si>
    <t>LND-0435</t>
  </si>
  <si>
    <t>Gut No. 942/9</t>
  </si>
  <si>
    <t>Ashok Bennur</t>
  </si>
  <si>
    <t>LND-0403</t>
  </si>
  <si>
    <t>Gut No. 794/8</t>
  </si>
  <si>
    <t>LND-0190</t>
  </si>
  <si>
    <t>Gut No. 714/7</t>
  </si>
  <si>
    <t>Mahadev Kulkarni</t>
  </si>
  <si>
    <t>LND-0229</t>
  </si>
  <si>
    <t>569/3</t>
  </si>
  <si>
    <t>Sanjay Pawar</t>
  </si>
  <si>
    <t>LND-0338</t>
  </si>
  <si>
    <t>Gut No. 429/4</t>
  </si>
  <si>
    <t>LND-0078</t>
  </si>
  <si>
    <t>Gut No. 891/4</t>
  </si>
  <si>
    <t>Laxman Gaikwad</t>
  </si>
  <si>
    <t>LND-0379</t>
  </si>
  <si>
    <t>Hunasagi</t>
  </si>
  <si>
    <t>932/2</t>
  </si>
  <si>
    <t>Fakeerappa Gudadinni</t>
  </si>
  <si>
    <t>LND-0303</t>
  </si>
  <si>
    <t>LND-0090</t>
  </si>
  <si>
    <t>480/2</t>
  </si>
  <si>
    <t>LND-0310</t>
  </si>
  <si>
    <t>Gut No. 543/5</t>
  </si>
  <si>
    <t>Yankappa Reddy</t>
  </si>
  <si>
    <t>LND-0496</t>
  </si>
  <si>
    <t>Gut No. 887/1</t>
  </si>
  <si>
    <t>LND-0472</t>
  </si>
  <si>
    <t>726/5</t>
  </si>
  <si>
    <t>Nagappa Patil</t>
  </si>
  <si>
    <t>LND-0008</t>
  </si>
  <si>
    <t>253/9</t>
  </si>
  <si>
    <t>Vilas Mane</t>
  </si>
  <si>
    <t>LND-0132</t>
  </si>
  <si>
    <t>562/9</t>
  </si>
  <si>
    <t>LND-0141</t>
  </si>
  <si>
    <t>Gut No. 458/1</t>
  </si>
  <si>
    <t>Shriram Waghmare</t>
  </si>
  <si>
    <t>LND-0483</t>
  </si>
  <si>
    <t>Gut No. 153/3</t>
  </si>
  <si>
    <t>LND-0316</t>
  </si>
  <si>
    <t>217/1</t>
  </si>
  <si>
    <t>Rajesh Hiremath</t>
  </si>
  <si>
    <t>LND-0068</t>
  </si>
  <si>
    <t>Gut No. 513/9</t>
  </si>
  <si>
    <t>LND-0130</t>
  </si>
  <si>
    <t>Gut No. 242/7</t>
  </si>
  <si>
    <t>LND-0143</t>
  </si>
  <si>
    <t>Gut No. 972/6</t>
  </si>
  <si>
    <t>Narayan Dhole</t>
  </si>
  <si>
    <t>LND-0437</t>
  </si>
  <si>
    <t>Gut No. 812/8</t>
  </si>
  <si>
    <t>LND-0469</t>
  </si>
  <si>
    <t>Gut No. 954/1</t>
  </si>
  <si>
    <t>LND-0259</t>
  </si>
  <si>
    <t>Gut No. 578/5</t>
  </si>
  <si>
    <t>Shriram Yadav</t>
  </si>
  <si>
    <t>LND-0065</t>
  </si>
  <si>
    <t>161/1</t>
  </si>
  <si>
    <t>Mahadev Dhole</t>
  </si>
  <si>
    <t>LND-0043</t>
  </si>
  <si>
    <t>Gut No. 266/4</t>
  </si>
  <si>
    <t>Sopan Wagh</t>
  </si>
  <si>
    <t>LND-0249</t>
  </si>
  <si>
    <t>Gut No. 978/2</t>
  </si>
  <si>
    <t>Ramesh Sawant</t>
  </si>
  <si>
    <t>LND-0147</t>
  </si>
  <si>
    <t>206/3</t>
  </si>
  <si>
    <t>Rajendra Sutar</t>
  </si>
  <si>
    <t>LND-0014</t>
  </si>
  <si>
    <t>272/9</t>
  </si>
  <si>
    <t>Raju Yadav</t>
  </si>
  <si>
    <t>LND-0320</t>
  </si>
  <si>
    <t>Aurad</t>
  </si>
  <si>
    <t>624/4</t>
  </si>
  <si>
    <t>Nagaraj Swamy</t>
  </si>
  <si>
    <t>LND-0378</t>
  </si>
  <si>
    <t>715/9</t>
  </si>
  <si>
    <t>Yankappa Hegde</t>
  </si>
  <si>
    <t>LND-0415</t>
  </si>
  <si>
    <t>289/5</t>
  </si>
  <si>
    <t>LND-0150</t>
  </si>
  <si>
    <t>Gut No. 169/3</t>
  </si>
  <si>
    <t>Bhagwan Murkute</t>
  </si>
  <si>
    <t>LND-0337</t>
  </si>
  <si>
    <t>Gut No. 947/9</t>
  </si>
  <si>
    <t>LND-0027</t>
  </si>
  <si>
    <t>761/9</t>
  </si>
  <si>
    <t>Shankar Mane</t>
  </si>
  <si>
    <t>LND-0452</t>
  </si>
  <si>
    <t>Gut No. 534/4</t>
  </si>
  <si>
    <t>LND-0087</t>
  </si>
  <si>
    <t>Gut No. 853/5</t>
  </si>
  <si>
    <t>Kisan Gaikwad</t>
  </si>
  <si>
    <t>LND-0464</t>
  </si>
  <si>
    <t>Gut No. 45/3</t>
  </si>
  <si>
    <t>Gurusiddappa Doddamani</t>
  </si>
  <si>
    <t>LND-0243</t>
  </si>
  <si>
    <t>490/2</t>
  </si>
  <si>
    <t>Rajendra Bhosale</t>
  </si>
  <si>
    <t>LND-0473</t>
  </si>
  <si>
    <t>Ramesh Rao</t>
  </si>
  <si>
    <t>LND-0032</t>
  </si>
  <si>
    <t>Gut No. 164/2</t>
  </si>
  <si>
    <t>Dattatray Shinde</t>
  </si>
  <si>
    <t>LND-0134</t>
  </si>
  <si>
    <t>630/6</t>
  </si>
  <si>
    <t>Rajendra Sawant</t>
  </si>
  <si>
    <t>LND-0289</t>
  </si>
  <si>
    <t>Gut No. 451/8</t>
  </si>
  <si>
    <t>Eranna Hegde</t>
  </si>
  <si>
    <t>LND-0402</t>
  </si>
  <si>
    <t>Gut No. 21/7</t>
  </si>
  <si>
    <t>Veeranna Angadi</t>
  </si>
  <si>
    <t>LND-0373</t>
  </si>
  <si>
    <t>645/9</t>
  </si>
  <si>
    <t>Shivanand Doddamani</t>
  </si>
  <si>
    <t>LND-0156</t>
  </si>
  <si>
    <t>Gut No. 255/3</t>
  </si>
  <si>
    <t>Sopan Salve</t>
  </si>
  <si>
    <t>LND-0384</t>
  </si>
  <si>
    <t>483/7</t>
  </si>
  <si>
    <t>Mallappa Naik</t>
  </si>
  <si>
    <t>LND-0306</t>
  </si>
  <si>
    <t>Gut No. 398/1</t>
  </si>
  <si>
    <t>Rajesh Doddamani</t>
  </si>
  <si>
    <t>LND-0356</t>
  </si>
  <si>
    <t>Gut No. 622/2</t>
  </si>
  <si>
    <t>LND-0019</t>
  </si>
  <si>
    <t>Vitthal Shinde</t>
  </si>
  <si>
    <t>LND-0086</t>
  </si>
  <si>
    <t>Gut No. 586/6</t>
  </si>
  <si>
    <t>LND-0149</t>
  </si>
  <si>
    <t>Gut No. 478/9</t>
  </si>
  <si>
    <t>Narayan Kulkarni</t>
  </si>
  <si>
    <t>LND-0151</t>
  </si>
  <si>
    <t>Gut No. 630/9</t>
  </si>
  <si>
    <t>LND-0465</t>
  </si>
  <si>
    <t>Gut No. 317/8</t>
  </si>
  <si>
    <t>LND-0181</t>
  </si>
  <si>
    <t>169/6</t>
  </si>
  <si>
    <t>Raju Naik</t>
  </si>
  <si>
    <t>LND-0216</t>
  </si>
  <si>
    <t>607/9</t>
  </si>
  <si>
    <t>LND-0170</t>
  </si>
  <si>
    <t>249/1</t>
  </si>
  <si>
    <t>LND-0376</t>
  </si>
  <si>
    <t>17/4</t>
  </si>
  <si>
    <t>LND-0294</t>
  </si>
  <si>
    <t>Gut No. 154/3</t>
  </si>
  <si>
    <t>LND-0478</t>
  </si>
  <si>
    <t>Gut No. 89/8</t>
  </si>
  <si>
    <t>LND-0263</t>
  </si>
  <si>
    <t>446/3</t>
  </si>
  <si>
    <t>Rajendra Pawar</t>
  </si>
  <si>
    <t>LND-0233</t>
  </si>
  <si>
    <t>Gut No. 357/2</t>
  </si>
  <si>
    <t>LND-0241</t>
  </si>
  <si>
    <t>Gut No. 257/2</t>
  </si>
  <si>
    <t>Narayan Kadam</t>
  </si>
  <si>
    <t>LND-0006</t>
  </si>
  <si>
    <t>624/3</t>
  </si>
  <si>
    <t>LND-0484</t>
  </si>
  <si>
    <t>Gut No. 278/3</t>
  </si>
  <si>
    <t>LND-0274</t>
  </si>
  <si>
    <t>Wadi</t>
  </si>
  <si>
    <t>Gut No. 786/4</t>
  </si>
  <si>
    <t>Siddappa Gowda</t>
  </si>
  <si>
    <t>LND-0176</t>
  </si>
  <si>
    <t>Gut No. 89/7</t>
  </si>
  <si>
    <t>LND-0028</t>
  </si>
  <si>
    <t>95/7</t>
  </si>
  <si>
    <t>Sopan Mane</t>
  </si>
  <si>
    <t>LND-0314</t>
  </si>
  <si>
    <t>Gut No. 133/2</t>
  </si>
  <si>
    <t>LND-0160</t>
  </si>
  <si>
    <t>Gut No. 846/2</t>
  </si>
  <si>
    <t>Shankar Deshmukh</t>
  </si>
  <si>
    <t>LND-0297</t>
  </si>
  <si>
    <t>Gut No. 879/2</t>
  </si>
  <si>
    <t>Revanasiddappa Kulkarni</t>
  </si>
  <si>
    <t>LND-0409</t>
  </si>
  <si>
    <t>Hiregonagar</t>
  </si>
  <si>
    <t>Gut No. 931/6</t>
  </si>
  <si>
    <t>Devendrappa Bennur</t>
  </si>
  <si>
    <t>LND-0277</t>
  </si>
  <si>
    <t>Chitaguppa</t>
  </si>
  <si>
    <t>21/9</t>
  </si>
  <si>
    <t>Devendrappa Patil</t>
  </si>
  <si>
    <t>LND-0325</t>
  </si>
  <si>
    <t>Yaragera</t>
  </si>
  <si>
    <t>382/6</t>
  </si>
  <si>
    <t>LND-0351</t>
  </si>
  <si>
    <t>934/9</t>
  </si>
  <si>
    <t>Nagaraj Angadi</t>
  </si>
  <si>
    <t>LND-0040</t>
  </si>
  <si>
    <t>826/4</t>
  </si>
  <si>
    <t>Shankar Patil</t>
  </si>
  <si>
    <t>LND-0343</t>
  </si>
  <si>
    <t>Gut No. 834/8</t>
  </si>
  <si>
    <t>Veeranna Gudadinni</t>
  </si>
  <si>
    <t>LND-0340</t>
  </si>
  <si>
    <t>516/9</t>
  </si>
  <si>
    <t>LND-0380</t>
  </si>
  <si>
    <t>385/4</t>
  </si>
  <si>
    <t>Ramesh Hugar</t>
  </si>
  <si>
    <t>LND-0323</t>
  </si>
  <si>
    <t>Gut No. 271/8</t>
  </si>
  <si>
    <t>LND-0242</t>
  </si>
  <si>
    <t>Sanjay Jadhav</t>
  </si>
  <si>
    <t>LND-0126</t>
  </si>
  <si>
    <t>Gut No. 626/5</t>
  </si>
  <si>
    <t>LND-0046</t>
  </si>
  <si>
    <t>Gut No. 772/7</t>
  </si>
  <si>
    <t>Raju Thorat</t>
  </si>
  <si>
    <t>LND-0313</t>
  </si>
  <si>
    <t>749/6</t>
  </si>
  <si>
    <t>LND-0456</t>
  </si>
  <si>
    <t>515/8</t>
  </si>
  <si>
    <t>LND-0268</t>
  </si>
  <si>
    <t>64/4</t>
  </si>
  <si>
    <t>Shankar Kale</t>
  </si>
  <si>
    <t>LND-0491</t>
  </si>
  <si>
    <t>Gut No. 804/7</t>
  </si>
  <si>
    <t>LND-0265</t>
  </si>
  <si>
    <t>Gut No. 124/9</t>
  </si>
  <si>
    <t>LND-0239</t>
  </si>
  <si>
    <t>Gut No. 275/6</t>
  </si>
  <si>
    <t>Sopan Pawar</t>
  </si>
  <si>
    <t>LND-0144</t>
  </si>
  <si>
    <t>754/3</t>
  </si>
  <si>
    <t>Sanjay Naik</t>
  </si>
  <si>
    <t>LND-0399</t>
  </si>
  <si>
    <t>Gut No. 201/3</t>
  </si>
  <si>
    <t>Srinivas Kulkarni</t>
  </si>
  <si>
    <t>LND-0385</t>
  </si>
  <si>
    <t>Gut No. 729/1</t>
  </si>
  <si>
    <t>LND-0440</t>
  </si>
  <si>
    <t>Gut No. 771/9</t>
  </si>
  <si>
    <t>Mallappa Hegde</t>
  </si>
  <si>
    <t>LND-0270</t>
  </si>
  <si>
    <t>Gut No. 509/1</t>
  </si>
  <si>
    <t>Dattatray Kadam</t>
  </si>
  <si>
    <t>LND-0375</t>
  </si>
  <si>
    <t>639/9</t>
  </si>
  <si>
    <t>Eranna Desai</t>
  </si>
  <si>
    <t>LND-0374</t>
  </si>
  <si>
    <t>Nagappa Hosamani</t>
  </si>
  <si>
    <t>LND-0073</t>
  </si>
  <si>
    <t>Gut No. 638/8</t>
  </si>
  <si>
    <t>LND-0041</t>
  </si>
  <si>
    <t>672/1</t>
  </si>
  <si>
    <t>Kisan Deshmukh</t>
  </si>
  <si>
    <t>LND-0354</t>
  </si>
  <si>
    <t>Gut No. 572/2</t>
  </si>
  <si>
    <t>Rajesh Hegde</t>
  </si>
  <si>
    <t>LND-0493</t>
  </si>
  <si>
    <t>223/3</t>
  </si>
  <si>
    <t>Rajesh Honnalli</t>
  </si>
  <si>
    <t>LND-0247</t>
  </si>
  <si>
    <t>Gut No. 211/9</t>
  </si>
  <si>
    <t>Balasaheb Naik</t>
  </si>
  <si>
    <t>LND-0298</t>
  </si>
  <si>
    <t>Gut No. 778/9</t>
  </si>
  <si>
    <t>LND-0058</t>
  </si>
  <si>
    <t>Gut No. 680/6</t>
  </si>
  <si>
    <t>Sanjay Chavan</t>
  </si>
  <si>
    <t>LND-0189</t>
  </si>
  <si>
    <t>424/5</t>
  </si>
  <si>
    <t>Santosh Shinde</t>
  </si>
  <si>
    <t>LND-0361</t>
  </si>
  <si>
    <t>103/5</t>
  </si>
  <si>
    <t>Anil Naik</t>
  </si>
  <si>
    <t>LND-0248</t>
  </si>
  <si>
    <t>Gut No. 654/2</t>
  </si>
  <si>
    <t>Anil Patil</t>
  </si>
  <si>
    <t>LND-0291</t>
  </si>
  <si>
    <t>Gut No. 587/4</t>
  </si>
  <si>
    <t>Devendrappa Rao</t>
  </si>
  <si>
    <t>Project_Name</t>
  </si>
  <si>
    <t>Energy_Type</t>
  </si>
  <si>
    <t>Capacity_MW</t>
  </si>
  <si>
    <t>Land_Required_Acres</t>
  </si>
  <si>
    <t>Expected_Commission_Date</t>
  </si>
  <si>
    <t>Project_Status</t>
  </si>
  <si>
    <t>Baramati Solar Energy Park</t>
  </si>
  <si>
    <t>Solar</t>
  </si>
  <si>
    <t>Under Construction</t>
  </si>
  <si>
    <t>Solapur Surya Urja Project</t>
  </si>
  <si>
    <t>Land Acquisition</t>
  </si>
  <si>
    <t>Osmanabad Renewable Power Initiative</t>
  </si>
  <si>
    <t>Latur Sun Power Station</t>
  </si>
  <si>
    <t>Completed</t>
  </si>
  <si>
    <t>Nanded Solar Agri Park</t>
  </si>
  <si>
    <t>Planning</t>
  </si>
  <si>
    <t>Marathwada Wind Energy Project</t>
  </si>
  <si>
    <t>Wind</t>
  </si>
  <si>
    <t>Pandharpur Solar Irrigation Scheme</t>
  </si>
  <si>
    <t>Sangli Surya Shakti Plant</t>
  </si>
  <si>
    <t>Sangli</t>
  </si>
  <si>
    <t>Raichur Solar Ultra Mega Park</t>
  </si>
  <si>
    <t>Koppal Wind Power Station</t>
  </si>
  <si>
    <t>Kalaburagi Surya Urja Park</t>
  </si>
  <si>
    <t>Vijayapura Solar Agri Initiative</t>
  </si>
  <si>
    <t>Bidar Renewable Energy Cluster</t>
  </si>
  <si>
    <t>Gadag Wind Farm Project</t>
  </si>
  <si>
    <t>Yadgir Sun Power Plant</t>
  </si>
  <si>
    <t>Hospet Solar Power Station</t>
  </si>
  <si>
    <t>Solar Land Acquisition Monitoring Summary</t>
  </si>
  <si>
    <t>Total Land Required (Acers)</t>
  </si>
  <si>
    <t>Pending Agreements</t>
  </si>
  <si>
    <t>Legal Verification Pending</t>
  </si>
  <si>
    <t>Payment Pending</t>
  </si>
  <si>
    <t xml:space="preserve"> Land Acquisition Progress</t>
  </si>
  <si>
    <t>Total Land Acquired (Parcel)</t>
  </si>
  <si>
    <t>Total Land Acquired (Acers)</t>
  </si>
  <si>
    <t>Land Remaining</t>
  </si>
  <si>
    <t>Agreement Executed Parcels</t>
  </si>
  <si>
    <t>Avg parcel Size</t>
  </si>
  <si>
    <t>Row Labels</t>
  </si>
  <si>
    <t>Grand Total</t>
  </si>
  <si>
    <t>Sum of Land_Area_Acres</t>
  </si>
  <si>
    <t>Land Acquired by Project</t>
  </si>
  <si>
    <t>Count of Parcel_ID</t>
  </si>
  <si>
    <t>Land Acquired by District</t>
  </si>
  <si>
    <t>Payment Status Distribution</t>
  </si>
  <si>
    <t>Agreement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</si>
</sst>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/>
    <xf numFmtId="0" fontId="18" fillId="0" borderId="0" xfId="0" applyFont="1"/>
    <xf numFmtId="0" fontId="0" fillId="0" borderId="0" xfId="0" quotePrefix="1"/>
    <xf numFmtId="10" fontId="0" fillId="0" borderId="0" xfId="0" applyNumberFormat="1"/>
    <xf numFmtId="0" fontId="0" fillId="0" borderId="0" xfId="0" pivotButton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9" formatCode="m/d/yyyy"/>
    </dxf>
    <dxf>
      <numFmt numFmtId="19" formatCode="m/d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m/d/yyyy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[solar_land_acquation_dataset.xlsx]pivot_analysis!PivotTable2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b="1"/>
              <a:t>Land Acquisition</a:t>
            </a:r>
            <a:r>
              <a:rPr lang="en-US" b="1" baseline="0"/>
              <a:t> by Project</a:t>
            </a:r>
          </a:p>
        </c:rich>
      </c:tx>
      <c:layout>
        <c:manualLayout>
          <c:xMode val="edge"/>
          <c:yMode val="edge"/>
          <c:x val="0.18956986719943589"/>
          <c:y val="3.21437730886549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pivot_analysis!$A$5:$A$21</c:f>
              <c:strCache>
                <c:ptCount val="16"/>
                <c:pt idx="0">
                  <c:v>PRJ-KA-01</c:v>
                </c:pt>
                <c:pt idx="1">
                  <c:v>PRJ-KA-02</c:v>
                </c:pt>
                <c:pt idx="2">
                  <c:v>PRJ-KA-03</c:v>
                </c:pt>
                <c:pt idx="3">
                  <c:v>PRJ-KA-04</c:v>
                </c:pt>
                <c:pt idx="4">
                  <c:v>PRJ-KA-05</c:v>
                </c:pt>
                <c:pt idx="5">
                  <c:v>PRJ-KA-06</c:v>
                </c:pt>
                <c:pt idx="6">
                  <c:v>PRJ-KA-07</c:v>
                </c:pt>
                <c:pt idx="7">
                  <c:v>PRJ-KA-08</c:v>
                </c:pt>
                <c:pt idx="8">
                  <c:v>PRJ-MH-01</c:v>
                </c:pt>
                <c:pt idx="9">
                  <c:v>PRJ-MH-02</c:v>
                </c:pt>
                <c:pt idx="10">
                  <c:v>PRJ-MH-03</c:v>
                </c:pt>
                <c:pt idx="11">
                  <c:v>PRJ-MH-04</c:v>
                </c:pt>
                <c:pt idx="12">
                  <c:v>PRJ-MH-05</c:v>
                </c:pt>
                <c:pt idx="13">
                  <c:v>PRJ-MH-06</c:v>
                </c:pt>
                <c:pt idx="14">
                  <c:v>PRJ-MH-07</c:v>
                </c:pt>
                <c:pt idx="15">
                  <c:v>PRJ-MH-08</c:v>
                </c:pt>
              </c:strCache>
            </c:strRef>
          </c:cat>
          <c:val>
            <c:numRef>
              <c:f>pivot_analysis!$B$5:$B$21</c:f>
              <c:numCache>
                <c:formatCode>0.00</c:formatCode>
                <c:ptCount val="16"/>
                <c:pt idx="0">
                  <c:v>15.63</c:v>
                </c:pt>
                <c:pt idx="1">
                  <c:v>15.629999999999999</c:v>
                </c:pt>
                <c:pt idx="2">
                  <c:v>1.95</c:v>
                </c:pt>
                <c:pt idx="3">
                  <c:v>3.88</c:v>
                </c:pt>
                <c:pt idx="4">
                  <c:v>8.24</c:v>
                </c:pt>
                <c:pt idx="5">
                  <c:v>6.33</c:v>
                </c:pt>
                <c:pt idx="6">
                  <c:v>17.07</c:v>
                </c:pt>
                <c:pt idx="7">
                  <c:v>4.0999999999999996</c:v>
                </c:pt>
                <c:pt idx="8">
                  <c:v>7.6300000000000008</c:v>
                </c:pt>
                <c:pt idx="9">
                  <c:v>4.91</c:v>
                </c:pt>
                <c:pt idx="10">
                  <c:v>11.740000000000002</c:v>
                </c:pt>
                <c:pt idx="11">
                  <c:v>7.3</c:v>
                </c:pt>
                <c:pt idx="12">
                  <c:v>15.159999999999998</c:v>
                </c:pt>
                <c:pt idx="13">
                  <c:v>18.049999999999997</c:v>
                </c:pt>
                <c:pt idx="14">
                  <c:v>11.6</c:v>
                </c:pt>
                <c:pt idx="15">
                  <c:v>8.7799999999999994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E-4AFF-8DDA-6D5F01E7C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299824"/>
        <c:axId val="1687304624"/>
      </c:barChart>
      <c:catAx>
        <c:axId val="168729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304624"/>
        <c:crosses val="autoZero"/>
        <c:auto val="1"/>
        <c:lblAlgn val="ctr"/>
        <c:lblOffset val="100"/>
        <c:noMultiLvlLbl val="0"/>
      </c:catAx>
      <c:valAx>
        <c:axId val="168730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29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[solar_land_acquation_dataset.xlsx]pivot_analysis!PivotTable1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Agreement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pivot_analysis!$B$42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01-4468-8C93-7BE743DB7B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01-4468-8C93-7BE743DB7B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01-4468-8C93-7BE743DB7B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01-4468-8C93-7BE743DB7B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pivot_analysis!$A$43:$A$47</c:f>
              <c:strCache>
                <c:ptCount val="4"/>
                <c:pt idx="0">
                  <c:v>Agreement Executed</c:v>
                </c:pt>
                <c:pt idx="1">
                  <c:v>MOU Signed</c:v>
                </c:pt>
                <c:pt idx="2">
                  <c:v>Not Started</c:v>
                </c:pt>
                <c:pt idx="3">
                  <c:v>Under Negotiation</c:v>
                </c:pt>
              </c:strCache>
            </c:strRef>
          </c:cat>
          <c:val>
            <c:numRef>
              <c:f>pivot_analysis!$B$43:$B$47</c:f>
              <c:numCache>
                <c:formatCode>General</c:formatCode>
                <c:ptCount val="4"/>
                <c:pt idx="0">
                  <c:v>119</c:v>
                </c:pt>
                <c:pt idx="1">
                  <c:v>121</c:v>
                </c:pt>
                <c:pt idx="2">
                  <c:v>128</c:v>
                </c:pt>
                <c:pt idx="3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B-44B0-88A4-CBADEB906DA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420631478268601"/>
          <c:y val="0.37123589478322511"/>
          <c:w val="0.32633040838115573"/>
          <c:h val="0.41977905746856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[solar_land_acquation_dataset.xlsx]pivot_analysis!PivotTable4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</a:t>
            </a:r>
            <a:r>
              <a:rPr lang="en-IN" b="1"/>
              <a:t>Parcel Payment Status Breackdown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pivot_analysis!$H$42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pivot_analysis!$G$43:$G$47</c:f>
              <c:strCache>
                <c:ptCount val="4"/>
                <c:pt idx="0">
                  <c:v>Unpaid</c:v>
                </c:pt>
                <c:pt idx="1">
                  <c:v>Advance Paid</c:v>
                </c:pt>
                <c:pt idx="2">
                  <c:v>Partially Paid</c:v>
                </c:pt>
                <c:pt idx="3">
                  <c:v>Fully Paid</c:v>
                </c:pt>
              </c:strCache>
            </c:strRef>
          </c:cat>
          <c:val>
            <c:numRef>
              <c:f>pivot_analysis!$H$43:$H$47</c:f>
              <c:numCache>
                <c:formatCode>General</c:formatCode>
                <c:ptCount val="4"/>
                <c:pt idx="0">
                  <c:v>188</c:v>
                </c:pt>
                <c:pt idx="1">
                  <c:v>127</c:v>
                </c:pt>
                <c:pt idx="2">
                  <c:v>121</c:v>
                </c:pt>
                <c:pt idx="3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1-4594-9AE6-FF5B05577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8483024"/>
        <c:axId val="1688466704"/>
      </c:barChart>
      <c:catAx>
        <c:axId val="1688483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466704"/>
        <c:crosses val="autoZero"/>
        <c:auto val="1"/>
        <c:lblAlgn val="ctr"/>
        <c:lblOffset val="100"/>
        <c:noMultiLvlLbl val="0"/>
      </c:catAx>
      <c:valAx>
        <c:axId val="168846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48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[solar_land_acquation_dataset.xlsx]pivot_analysis!PivotTable3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Land Acquisition by</a:t>
            </a:r>
            <a:r>
              <a:rPr lang="en-US" b="1" baseline="0"/>
              <a:t> District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pivot_analysis!$G$3:$G$14</c:f>
              <c:strCache>
                <c:ptCount val="11"/>
                <c:pt idx="0">
                  <c:v>Bidar</c:v>
                </c:pt>
                <c:pt idx="1">
                  <c:v>Gadag</c:v>
                </c:pt>
                <c:pt idx="2">
                  <c:v>Kalaburagi</c:v>
                </c:pt>
                <c:pt idx="3">
                  <c:v>Koppal</c:v>
                </c:pt>
                <c:pt idx="4">
                  <c:v>Latur</c:v>
                </c:pt>
                <c:pt idx="5">
                  <c:v>Nanded</c:v>
                </c:pt>
                <c:pt idx="6">
                  <c:v>Osmanabad</c:v>
                </c:pt>
                <c:pt idx="7">
                  <c:v>Pune</c:v>
                </c:pt>
                <c:pt idx="8">
                  <c:v>Raichur</c:v>
                </c:pt>
                <c:pt idx="9">
                  <c:v>Solapur</c:v>
                </c:pt>
                <c:pt idx="10">
                  <c:v>Vijayapura</c:v>
                </c:pt>
              </c:strCache>
            </c:strRef>
          </c:cat>
          <c:val>
            <c:numRef>
              <c:f>pivot_analysis!$H$3:$H$14</c:f>
              <c:numCache>
                <c:formatCode>0.00</c:formatCode>
                <c:ptCount val="11"/>
                <c:pt idx="0">
                  <c:v>105.51999999999998</c:v>
                </c:pt>
                <c:pt idx="1">
                  <c:v>121.41</c:v>
                </c:pt>
                <c:pt idx="2">
                  <c:v>89.789999999999978</c:v>
                </c:pt>
                <c:pt idx="3">
                  <c:v>117.09</c:v>
                </c:pt>
                <c:pt idx="4">
                  <c:v>146.88999999999999</c:v>
                </c:pt>
                <c:pt idx="5">
                  <c:v>108.39999999999999</c:v>
                </c:pt>
                <c:pt idx="6">
                  <c:v>185.64</c:v>
                </c:pt>
                <c:pt idx="7">
                  <c:v>172.57000000000002</c:v>
                </c:pt>
                <c:pt idx="8">
                  <c:v>113.43999999999997</c:v>
                </c:pt>
                <c:pt idx="9">
                  <c:v>157.08000000000001</c:v>
                </c:pt>
                <c:pt idx="10">
                  <c:v>90.7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3-4873-B2C4-0F2F345E2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8658399"/>
        <c:axId val="288674719"/>
      </c:barChart>
      <c:catAx>
        <c:axId val="28865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74719"/>
        <c:crosses val="autoZero"/>
        <c:auto val="1"/>
        <c:lblAlgn val="ctr"/>
        <c:lblOffset val="100"/>
        <c:noMultiLvlLbl val="0"/>
      </c:catAx>
      <c:valAx>
        <c:axId val="28867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5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7620</xdr:rowOff>
    </xdr:from>
    <xdr:to>
      <xdr:col>4</xdr:col>
      <xdr:colOff>15240</xdr:colOff>
      <xdr:row>38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58B5BE-EB74-7FAB-D790-672CA0606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48</xdr:row>
      <xdr:rowOff>7620</xdr:rowOff>
    </xdr:from>
    <xdr:to>
      <xdr:col>3</xdr:col>
      <xdr:colOff>7620</xdr:colOff>
      <xdr:row>59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D5857E-7C83-798A-1042-4AD81E97B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7620</xdr:colOff>
      <xdr:row>48</xdr:row>
      <xdr:rowOff>15240</xdr:rowOff>
    </xdr:from>
    <xdr:to>
      <xdr:col>9</xdr:col>
      <xdr:colOff>45720</xdr:colOff>
      <xdr:row>59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2E438B-85A4-8424-FB24-C03298171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7620</xdr:colOff>
      <xdr:row>22</xdr:row>
      <xdr:rowOff>0</xdr:rowOff>
    </xdr:from>
    <xdr:to>
      <xdr:col>9</xdr:col>
      <xdr:colOff>655320</xdr:colOff>
      <xdr:row>38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FCAC0C-BC9C-2227-30E6-C9E5AD0A8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thili Phulari" refreshedDate="46094.640777893517" createdVersion="8" refreshedVersion="8" minRefreshableVersion="3" recordCount="500" xr:uid="{63FC1810-7607-4312-A921-0797A044CB24}">
  <cacheSource type="worksheet">
    <worksheetSource name="tbl_land_parcels"/>
  </cacheSource>
  <cacheFields count="14">
    <cacheField name="Parcel_ID" numFmtId="0">
      <sharedItems/>
    </cacheField>
    <cacheField name="Project_ID" numFmtId="0">
      <sharedItems count="16">
        <s v="PRJ-KA-05"/>
        <s v="PRJ-KA-08"/>
        <s v="PRJ-MH-02"/>
        <s v="PRJ-MH-01"/>
        <s v="PRJ-KA-02"/>
        <s v="PRJ-MH-07"/>
        <s v="PRJ-KA-04"/>
        <s v="PRJ-KA-01"/>
        <s v="PRJ-MH-05"/>
        <s v="PRJ-KA-03"/>
        <s v="PRJ-MH-06"/>
        <s v="PRJ-KA-06"/>
        <s v="PRJ-MH-04"/>
        <s v="PRJ-KA-07"/>
        <s v="PRJ-MH-08"/>
        <s v="PRJ-MH-03"/>
      </sharedItems>
    </cacheField>
    <cacheField name="State" numFmtId="0">
      <sharedItems/>
    </cacheField>
    <cacheField name="District" numFmtId="0">
      <sharedItems count="11">
        <s v="Gadag"/>
        <s v="Bidar"/>
        <s v="Solapur"/>
        <s v="Osmanabad"/>
        <s v="Koppal"/>
        <s v="Vijayapura"/>
        <s v="Latur"/>
        <s v="Kalaburagi"/>
        <s v="Pune"/>
        <s v="Nanded"/>
        <s v="Raichur"/>
      </sharedItems>
    </cacheField>
    <cacheField name="Taluka" numFmtId="0">
      <sharedItems/>
    </cacheField>
    <cacheField name="Village" numFmtId="0">
      <sharedItems/>
    </cacheField>
    <cacheField name="Survey_Number" numFmtId="0">
      <sharedItems containsDate="1" containsMixedTypes="1" minDate="2026-02-04T00:00:00" maxDate="2026-12-05T00:00:00"/>
    </cacheField>
    <cacheField name="Farmer_Name" numFmtId="0">
      <sharedItems/>
    </cacheField>
    <cacheField name="Land_Area_Acres" numFmtId="2">
      <sharedItems containsSemiMixedTypes="0" containsString="0" containsNumber="1" minValue="0.5" maxValue="4.99"/>
    </cacheField>
    <cacheField name="Agreement_Status" numFmtId="0">
      <sharedItems count="4">
        <s v="Under Negotiation"/>
        <s v="Agreement Executed"/>
        <s v="Not Started"/>
        <s v="MOU Signed"/>
      </sharedItems>
    </cacheField>
    <cacheField name="Legal_Verification" numFmtId="0">
      <sharedItems/>
    </cacheField>
    <cacheField name="Registration_Status" numFmtId="0">
      <sharedItems count="2">
        <s v="Not Registered"/>
        <s v="Registered"/>
      </sharedItems>
    </cacheField>
    <cacheField name="Payment_Status" numFmtId="0">
      <sharedItems count="4">
        <s v="Unpaid"/>
        <s v="Advance Paid"/>
        <s v="Partially Paid"/>
        <s v="Fully Paid"/>
      </sharedItems>
    </cacheField>
    <cacheField name="Acquisition_Date" numFmtId="14">
      <sharedItems containsNonDate="0" containsDate="1" containsString="0" containsBlank="1" minDate="2022-01-14T00:00:00" maxDate="2024-09-2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LND-0498"/>
    <x v="0"/>
    <s v="Karnataka"/>
    <x v="0"/>
    <s v="Gadag"/>
    <s v="Betgeri"/>
    <s v="74/1"/>
    <s v="Hanumantha Biradar"/>
    <n v="3.46"/>
    <x v="0"/>
    <s v="Pending"/>
    <x v="0"/>
    <x v="0"/>
    <m/>
  </r>
  <r>
    <s v="LND-0489"/>
    <x v="1"/>
    <s v="Karnataka"/>
    <x v="1"/>
    <s v="Basavakalyan"/>
    <s v="Udgir"/>
    <s v="Gut No. 867/3"/>
    <s v="Fakeerappa Angadi"/>
    <n v="3.22"/>
    <x v="0"/>
    <s v="Pending"/>
    <x v="0"/>
    <x v="1"/>
    <m/>
  </r>
  <r>
    <s v="LND-0165"/>
    <x v="2"/>
    <s v="Maharashtra"/>
    <x v="2"/>
    <s v="Mohol"/>
    <s v="Pandharpur"/>
    <s v="Gut No. 429/3"/>
    <s v="Mahadev Murkute"/>
    <n v="1.42"/>
    <x v="1"/>
    <s v="Cleared"/>
    <x v="0"/>
    <x v="2"/>
    <m/>
  </r>
  <r>
    <s v="LND-0109"/>
    <x v="2"/>
    <s v="Maharashtra"/>
    <x v="3"/>
    <s v="Tuljapur"/>
    <s v="Wadgaon"/>
    <s v="Gut No. 622/8"/>
    <s v="Mahadev Mane"/>
    <n v="1.47"/>
    <x v="2"/>
    <s v="Pending"/>
    <x v="0"/>
    <x v="0"/>
    <m/>
  </r>
  <r>
    <s v="LND-0111"/>
    <x v="3"/>
    <s v="Maharashtra"/>
    <x v="2"/>
    <s v="Barshi"/>
    <s v="Shegaon"/>
    <s v="783/5"/>
    <s v="Popat Salve"/>
    <n v="1.04"/>
    <x v="1"/>
    <s v="Disputed"/>
    <x v="0"/>
    <x v="2"/>
    <m/>
  </r>
  <r>
    <s v="LND-0445"/>
    <x v="4"/>
    <s v="Karnataka"/>
    <x v="0"/>
    <s v="Gadag"/>
    <s v="Betgeri"/>
    <s v="890/5"/>
    <s v="Basavaraj Hugar"/>
    <n v="3.62"/>
    <x v="2"/>
    <s v="Pending"/>
    <x v="0"/>
    <x v="0"/>
    <m/>
  </r>
  <r>
    <s v="LND-0257"/>
    <x v="5"/>
    <s v="Maharashtra"/>
    <x v="2"/>
    <s v="Barshi"/>
    <s v="Shegaon"/>
    <s v="Gut No. 938/6"/>
    <s v="Santosh Jadhav"/>
    <n v="3.07"/>
    <x v="2"/>
    <s v="Pending"/>
    <x v="0"/>
    <x v="0"/>
    <m/>
  </r>
  <r>
    <s v="LND-0431"/>
    <x v="6"/>
    <s v="Karnataka"/>
    <x v="4"/>
    <s v="Kushtagi"/>
    <s v="Guttal"/>
    <s v="572/9"/>
    <s v="Yankappa Gowda"/>
    <n v="3.95"/>
    <x v="3"/>
    <s v="Disputed"/>
    <x v="0"/>
    <x v="2"/>
    <m/>
  </r>
  <r>
    <s v="LND-0490"/>
    <x v="4"/>
    <s v="Karnataka"/>
    <x v="5"/>
    <s v="Muddebihal"/>
    <s v="Muddebihal"/>
    <s v="Gut No. 546/8"/>
    <s v="Mahantappa Doddamani"/>
    <n v="2.36"/>
    <x v="0"/>
    <s v="Pending"/>
    <x v="0"/>
    <x v="1"/>
    <m/>
  </r>
  <r>
    <s v="LND-0423"/>
    <x v="7"/>
    <s v="Karnataka"/>
    <x v="0"/>
    <s v="Ron"/>
    <s v="Kanaginahal"/>
    <s v="257/1"/>
    <s v="Devendrappa Hosamani"/>
    <n v="3.02"/>
    <x v="1"/>
    <s v="Cleared"/>
    <x v="0"/>
    <x v="3"/>
    <m/>
  </r>
  <r>
    <s v="LND-0047"/>
    <x v="8"/>
    <s v="Maharashtra"/>
    <x v="6"/>
    <s v="Ausa"/>
    <s v="Ausa"/>
    <s v="Gut No. 345/7"/>
    <s v="Shriram More"/>
    <n v="4.28"/>
    <x v="0"/>
    <s v="Pending"/>
    <x v="0"/>
    <x v="1"/>
    <m/>
  </r>
  <r>
    <s v="LND-0388"/>
    <x v="4"/>
    <s v="Karnataka"/>
    <x v="1"/>
    <s v="Humnabad"/>
    <s v="Nilanga"/>
    <s v="Gut No. 356/5"/>
    <s v="Revanasiddappa Gudadinni"/>
    <n v="4.83"/>
    <x v="1"/>
    <s v="Disputed"/>
    <x v="0"/>
    <x v="3"/>
    <m/>
  </r>
  <r>
    <s v="LND-0096"/>
    <x v="3"/>
    <s v="Maharashtra"/>
    <x v="3"/>
    <s v="Osmanabad"/>
    <s v="Kalamb"/>
    <s v="71/9"/>
    <s v="Ganpat Sawant"/>
    <n v="1.47"/>
    <x v="0"/>
    <s v="In Progress"/>
    <x v="0"/>
    <x v="0"/>
    <m/>
  </r>
  <r>
    <s v="LND-0414"/>
    <x v="9"/>
    <s v="Karnataka"/>
    <x v="7"/>
    <s v="Yadgir"/>
    <s v="Yadgir"/>
    <s v="Gut No. 633/8"/>
    <s v="Eranna Gudadinni"/>
    <n v="2.71"/>
    <x v="3"/>
    <s v="In Progress"/>
    <x v="0"/>
    <x v="1"/>
    <m/>
  </r>
  <r>
    <s v="LND-0072"/>
    <x v="3"/>
    <s v="Maharashtra"/>
    <x v="6"/>
    <s v="Latur"/>
    <s v="Murud"/>
    <s v="Gut No. 332/2"/>
    <s v="Kisan Bhosale"/>
    <n v="4.3899999999999997"/>
    <x v="2"/>
    <s v="Pending"/>
    <x v="0"/>
    <x v="0"/>
    <m/>
  </r>
  <r>
    <s v="LND-0207"/>
    <x v="10"/>
    <s v="Maharashtra"/>
    <x v="8"/>
    <s v="Haveli"/>
    <s v="Lonikand"/>
    <s v="Gut No. 503/4"/>
    <s v="Narayan Chavan"/>
    <n v="4.74"/>
    <x v="1"/>
    <s v="Cleared"/>
    <x v="1"/>
    <x v="2"/>
    <m/>
  </r>
  <r>
    <s v="LND-0326"/>
    <x v="9"/>
    <s v="Karnataka"/>
    <x v="1"/>
    <s v="Bidar"/>
    <s v="Udgir"/>
    <s v="966/3"/>
    <s v="Veeranna Kamble"/>
    <n v="4.5999999999999996"/>
    <x v="1"/>
    <s v="Disputed"/>
    <x v="0"/>
    <x v="3"/>
    <m/>
  </r>
  <r>
    <s v="LND-0287"/>
    <x v="11"/>
    <s v="Karnataka"/>
    <x v="1"/>
    <s v="Basavakalyan"/>
    <s v="Basavakalyan"/>
    <s v="Gut No. 844/8"/>
    <s v="Nagappa Gowda"/>
    <n v="0.62"/>
    <x v="0"/>
    <s v="In Progress"/>
    <x v="0"/>
    <x v="0"/>
    <m/>
  </r>
  <r>
    <s v="LND-0278"/>
    <x v="9"/>
    <s v="Karnataka"/>
    <x v="5"/>
    <s v="Vijayapura"/>
    <s v="Vijayapura"/>
    <s v="601/3"/>
    <s v="Nagaraj Gowda"/>
    <n v="4.3099999999999996"/>
    <x v="3"/>
    <s v="In Progress"/>
    <x v="0"/>
    <x v="2"/>
    <m/>
  </r>
  <r>
    <s v="LND-0215"/>
    <x v="12"/>
    <s v="Maharashtra"/>
    <x v="6"/>
    <s v="Ausa"/>
    <s v="Nilanga"/>
    <s v="Gut No. 992/6"/>
    <s v="Popat Londhe"/>
    <n v="3.63"/>
    <x v="1"/>
    <s v="Cleared"/>
    <x v="1"/>
    <x v="3"/>
    <d v="2023-07-29T00:00:00"/>
  </r>
  <r>
    <s v="LND-0462"/>
    <x v="4"/>
    <s v="Karnataka"/>
    <x v="0"/>
    <s v="Gadag"/>
    <s v="Betgeri"/>
    <s v="403/7"/>
    <s v="Gurusiddappa Hosamani"/>
    <n v="0.61"/>
    <x v="1"/>
    <s v="Cleared"/>
    <x v="1"/>
    <x v="2"/>
    <m/>
  </r>
  <r>
    <s v="LND-0145"/>
    <x v="8"/>
    <s v="Maharashtra"/>
    <x v="3"/>
    <s v="Lohara"/>
    <s v="Washi"/>
    <s v="627/5"/>
    <s v="Laxman Sutar"/>
    <n v="1.4"/>
    <x v="0"/>
    <s v="Pending"/>
    <x v="0"/>
    <x v="1"/>
    <m/>
  </r>
  <r>
    <s v="LND-0258"/>
    <x v="3"/>
    <s v="Maharashtra"/>
    <x v="2"/>
    <s v="Mohol"/>
    <s v="Karkamb"/>
    <s v="977/7"/>
    <s v="Dnyandev Dhole"/>
    <n v="4.4000000000000004"/>
    <x v="3"/>
    <s v="Cleared"/>
    <x v="0"/>
    <x v="1"/>
    <m/>
  </r>
  <r>
    <s v="LND-0097"/>
    <x v="3"/>
    <s v="Maharashtra"/>
    <x v="3"/>
    <s v="Osmanabad"/>
    <s v="Kalamb"/>
    <s v="Gut No. 818/3"/>
    <s v="Vitthal Kadam"/>
    <n v="4.4000000000000004"/>
    <x v="0"/>
    <s v="Pending"/>
    <x v="0"/>
    <x v="1"/>
    <m/>
  </r>
  <r>
    <s v="LND-0002"/>
    <x v="5"/>
    <s v="Maharashtra"/>
    <x v="8"/>
    <s v="Baramati"/>
    <s v="Pargaon"/>
    <s v="239/9"/>
    <s v="Balasaheb Patil"/>
    <n v="3.03"/>
    <x v="1"/>
    <s v="Cleared"/>
    <x v="1"/>
    <x v="3"/>
    <d v="2022-01-14T00:00:00"/>
  </r>
  <r>
    <s v="LND-0091"/>
    <x v="3"/>
    <s v="Maharashtra"/>
    <x v="3"/>
    <s v="Lohara"/>
    <s v="Lohara"/>
    <s v="Gut No. 378/5"/>
    <s v="Pramod Bhosale"/>
    <n v="4.2"/>
    <x v="3"/>
    <s v="In Progress"/>
    <x v="0"/>
    <x v="1"/>
    <m/>
  </r>
  <r>
    <s v="LND-0317"/>
    <x v="13"/>
    <s v="Karnataka"/>
    <x v="0"/>
    <s v="Ron"/>
    <s v="Parasgad"/>
    <s v="609/1"/>
    <s v="Santosh Gowda"/>
    <n v="3.44"/>
    <x v="2"/>
    <s v="Pending"/>
    <x v="0"/>
    <x v="0"/>
    <m/>
  </r>
  <r>
    <s v="LND-0282"/>
    <x v="1"/>
    <s v="Karnataka"/>
    <x v="1"/>
    <s v="Basavakalyan"/>
    <s v="Kamalnagar"/>
    <s v="710/2"/>
    <s v="Lingappa Swamy"/>
    <n v="4.04"/>
    <x v="2"/>
    <s v="Pending"/>
    <x v="0"/>
    <x v="0"/>
    <m/>
  </r>
  <r>
    <s v="LND-0080"/>
    <x v="2"/>
    <s v="Maharashtra"/>
    <x v="9"/>
    <s v="Hadgaon"/>
    <s v="Hadgaon"/>
    <s v="420/3"/>
    <s v="Dnyandev Sutar"/>
    <n v="4.0199999999999996"/>
    <x v="3"/>
    <s v="Cleared"/>
    <x v="0"/>
    <x v="2"/>
    <m/>
  </r>
  <r>
    <s v="LND-0307"/>
    <x v="1"/>
    <s v="Karnataka"/>
    <x v="0"/>
    <s v="Ron"/>
    <s v="Parasgad"/>
    <s v="Gut No. 866/3"/>
    <s v="Santosh Bennur"/>
    <n v="1.32"/>
    <x v="2"/>
    <s v="Pending"/>
    <x v="0"/>
    <x v="0"/>
    <m/>
  </r>
  <r>
    <s v="LND-0234"/>
    <x v="5"/>
    <s v="Maharashtra"/>
    <x v="2"/>
    <s v="Akkalkot"/>
    <s v="Nandeshwar"/>
    <s v="834/4"/>
    <s v="Tukaram Shinde"/>
    <n v="3.07"/>
    <x v="3"/>
    <s v="Disputed"/>
    <x v="0"/>
    <x v="1"/>
    <m/>
  </r>
  <r>
    <s v="LND-0119"/>
    <x v="5"/>
    <s v="Maharashtra"/>
    <x v="6"/>
    <s v="Chakur"/>
    <s v="Salegaon"/>
    <s v="461/4"/>
    <s v="Bhagwan Yadav"/>
    <n v="2.64"/>
    <x v="0"/>
    <s v="Pending"/>
    <x v="0"/>
    <x v="1"/>
    <m/>
  </r>
  <r>
    <s v="LND-0033"/>
    <x v="10"/>
    <s v="Maharashtra"/>
    <x v="3"/>
    <s v="Osmanabad"/>
    <s v="Kalamb"/>
    <s v="676/4"/>
    <s v="Dattatray Salve"/>
    <n v="1.75"/>
    <x v="2"/>
    <s v="Pending"/>
    <x v="0"/>
    <x v="0"/>
    <m/>
  </r>
  <r>
    <s v="LND-0381"/>
    <x v="9"/>
    <s v="Karnataka"/>
    <x v="10"/>
    <s v="Manvi"/>
    <s v="Kavital"/>
    <s v="Gut No. 268/9"/>
    <s v="Yankappa Doddamani"/>
    <n v="2.15"/>
    <x v="3"/>
    <s v="Disputed"/>
    <x v="0"/>
    <x v="2"/>
    <m/>
  </r>
  <r>
    <s v="LND-0167"/>
    <x v="14"/>
    <s v="Maharashtra"/>
    <x v="2"/>
    <s v="Mohol"/>
    <s v="Akluj"/>
    <s v="Gut No. 231/5"/>
    <s v="Kisan Pawar"/>
    <n v="3.67"/>
    <x v="1"/>
    <s v="Disputed"/>
    <x v="1"/>
    <x v="3"/>
    <d v="2023-07-15T00:00:00"/>
  </r>
  <r>
    <s v="LND-0059"/>
    <x v="8"/>
    <s v="Maharashtra"/>
    <x v="3"/>
    <s v="Osmanabad"/>
    <s v="Osmanabad"/>
    <s v="324/2"/>
    <s v="Shriram Chavan"/>
    <n v="4.78"/>
    <x v="0"/>
    <s v="Pending"/>
    <x v="0"/>
    <x v="0"/>
    <m/>
  </r>
  <r>
    <s v="LND-0407"/>
    <x v="9"/>
    <s v="Karnataka"/>
    <x v="1"/>
    <s v="Humnabad"/>
    <s v="Saidapur"/>
    <s v="Gut No. 235/4"/>
    <s v="Srinivas Rao"/>
    <n v="2.4900000000000002"/>
    <x v="0"/>
    <s v="Pending"/>
    <x v="0"/>
    <x v="0"/>
    <m/>
  </r>
  <r>
    <s v="LND-0159"/>
    <x v="5"/>
    <s v="Maharashtra"/>
    <x v="3"/>
    <s v="Osmanabad"/>
    <s v="Rui"/>
    <s v="584/9"/>
    <s v="Ganpat Waghmare"/>
    <n v="2.99"/>
    <x v="2"/>
    <s v="Pending"/>
    <x v="0"/>
    <x v="0"/>
    <m/>
  </r>
  <r>
    <s v="LND-0264"/>
    <x v="10"/>
    <s v="Maharashtra"/>
    <x v="6"/>
    <s v="Ausa"/>
    <s v="Nilanga"/>
    <s v="967/4"/>
    <s v="Shankar Sawant"/>
    <n v="0.99"/>
    <x v="2"/>
    <s v="Pending"/>
    <x v="0"/>
    <x v="0"/>
    <m/>
  </r>
  <r>
    <s v="LND-0089"/>
    <x v="10"/>
    <s v="Maharashtra"/>
    <x v="6"/>
    <s v="Latur"/>
    <s v="Udgir"/>
    <s v="806/9"/>
    <s v="Narayan Naik"/>
    <n v="2.76"/>
    <x v="3"/>
    <s v="In Progress"/>
    <x v="0"/>
    <x v="2"/>
    <m/>
  </r>
  <r>
    <s v="LND-0185"/>
    <x v="5"/>
    <s v="Maharashtra"/>
    <x v="8"/>
    <s v="Haveli"/>
    <s v="Manjari"/>
    <s v="670/6"/>
    <s v="Vitthal More"/>
    <n v="4.97"/>
    <x v="1"/>
    <s v="Cleared"/>
    <x v="0"/>
    <x v="2"/>
    <m/>
  </r>
  <r>
    <s v="LND-0082"/>
    <x v="8"/>
    <s v="Maharashtra"/>
    <x v="2"/>
    <s v="Akkalkot"/>
    <s v="Akkalkot"/>
    <s v="Gut No. 101/2"/>
    <s v="Arjun More"/>
    <n v="3.62"/>
    <x v="2"/>
    <s v="Pending"/>
    <x v="0"/>
    <x v="0"/>
    <m/>
  </r>
  <r>
    <s v="LND-0328"/>
    <x v="0"/>
    <s v="Karnataka"/>
    <x v="0"/>
    <s v="Ron"/>
    <s v="Ron"/>
    <s v="979/6"/>
    <s v="Ashok Hiremath"/>
    <n v="3.6"/>
    <x v="2"/>
    <s v="Pending"/>
    <x v="0"/>
    <x v="0"/>
    <m/>
  </r>
  <r>
    <s v="LND-0020"/>
    <x v="2"/>
    <s v="Maharashtra"/>
    <x v="2"/>
    <s v="Mohol"/>
    <s v="Pandharpur"/>
    <s v="Gut No. 493/4"/>
    <s v="Raju Bhosale"/>
    <n v="4.5599999999999996"/>
    <x v="0"/>
    <s v="In Progress"/>
    <x v="0"/>
    <x v="0"/>
    <m/>
  </r>
  <r>
    <s v="LND-0251"/>
    <x v="8"/>
    <s v="Maharashtra"/>
    <x v="8"/>
    <s v="Haveli"/>
    <s v="Koregaon Bhima"/>
    <s v="550/6"/>
    <s v="Dattatray Sawant"/>
    <n v="3.35"/>
    <x v="2"/>
    <s v="Pending"/>
    <x v="0"/>
    <x v="0"/>
    <m/>
  </r>
  <r>
    <s v="LND-0392"/>
    <x v="6"/>
    <s v="Karnataka"/>
    <x v="5"/>
    <s v="Vijayapura"/>
    <s v="Indi"/>
    <s v="Gut No. 78/9"/>
    <s v="Siddappa Biradar"/>
    <n v="1.91"/>
    <x v="0"/>
    <s v="In Progress"/>
    <x v="0"/>
    <x v="0"/>
    <m/>
  </r>
  <r>
    <s v="LND-0066"/>
    <x v="8"/>
    <s v="Maharashtra"/>
    <x v="3"/>
    <s v="Lohara"/>
    <s v="Washi"/>
    <s v="704/4"/>
    <s v="Santosh Wagh"/>
    <n v="3.15"/>
    <x v="0"/>
    <s v="In Progress"/>
    <x v="0"/>
    <x v="0"/>
    <m/>
  </r>
  <r>
    <s v="LND-0081"/>
    <x v="2"/>
    <s v="Maharashtra"/>
    <x v="3"/>
    <s v="Lohara"/>
    <s v="Bhoom"/>
    <s v="Gut No. 978/6"/>
    <s v="Ashok Murkute"/>
    <n v="4.49"/>
    <x v="1"/>
    <s v="Cleared"/>
    <x v="0"/>
    <x v="2"/>
    <m/>
  </r>
  <r>
    <s v="LND-0188"/>
    <x v="5"/>
    <s v="Maharashtra"/>
    <x v="6"/>
    <s v="Latur"/>
    <s v="Jalkot"/>
    <s v="773/1"/>
    <s v="Shankar Naik"/>
    <n v="4.97"/>
    <x v="0"/>
    <s v="In Progress"/>
    <x v="0"/>
    <x v="1"/>
    <m/>
  </r>
  <r>
    <s v="LND-0110"/>
    <x v="10"/>
    <s v="Maharashtra"/>
    <x v="6"/>
    <s v="Latur"/>
    <s v="Murud"/>
    <s v="Gut No. 540/5"/>
    <s v="Suresh Gaikwad"/>
    <n v="2.2799999999999998"/>
    <x v="2"/>
    <s v="Pending"/>
    <x v="0"/>
    <x v="0"/>
    <m/>
  </r>
  <r>
    <s v="LND-0410"/>
    <x v="1"/>
    <s v="Karnataka"/>
    <x v="5"/>
    <s v="Sindgi"/>
    <s v="Talikot"/>
    <s v="Gut No. 160/5"/>
    <s v="Basavaraj Patil"/>
    <n v="2.85"/>
    <x v="0"/>
    <s v="In Progress"/>
    <x v="0"/>
    <x v="1"/>
    <m/>
  </r>
  <r>
    <s v="LND-0163"/>
    <x v="8"/>
    <s v="Maharashtra"/>
    <x v="6"/>
    <s v="Latur"/>
    <s v="Murud"/>
    <s v="Gut No. 690/2"/>
    <s v="Mahadev Sawant"/>
    <n v="1.88"/>
    <x v="2"/>
    <s v="Pending"/>
    <x v="0"/>
    <x v="0"/>
    <m/>
  </r>
  <r>
    <s v="LND-0311"/>
    <x v="11"/>
    <s v="Karnataka"/>
    <x v="10"/>
    <s v="Manvi"/>
    <s v="Hatti"/>
    <s v="324/3"/>
    <s v="Nagaraj Naik"/>
    <n v="2.69"/>
    <x v="0"/>
    <s v="In Progress"/>
    <x v="0"/>
    <x v="0"/>
    <m/>
  </r>
  <r>
    <s v="LND-0416"/>
    <x v="7"/>
    <s v="Karnataka"/>
    <x v="10"/>
    <s v="Raichur"/>
    <s v="Sindhanur"/>
    <s v="Gut No. 320/8"/>
    <s v="Lingappa Hosamani"/>
    <n v="3.64"/>
    <x v="2"/>
    <s v="Pending"/>
    <x v="0"/>
    <x v="0"/>
    <m/>
  </r>
  <r>
    <s v="LND-0412"/>
    <x v="6"/>
    <s v="Karnataka"/>
    <x v="10"/>
    <s v="Manvi"/>
    <s v="Hatti"/>
    <s v="Gut No. 256/3"/>
    <s v="Ramesh Honnalli"/>
    <n v="2.25"/>
    <x v="1"/>
    <s v="Cleared"/>
    <x v="1"/>
    <x v="2"/>
    <m/>
  </r>
  <r>
    <s v="LND-0396"/>
    <x v="1"/>
    <s v="Karnataka"/>
    <x v="1"/>
    <s v="Humnabad"/>
    <s v="Gadlegaon"/>
    <s v="Gut No. 324/1"/>
    <s v="Basavaraj Nayak"/>
    <n v="2.21"/>
    <x v="2"/>
    <s v="Pending"/>
    <x v="0"/>
    <x v="0"/>
    <m/>
  </r>
  <r>
    <s v="LND-0367"/>
    <x v="9"/>
    <s v="Karnataka"/>
    <x v="7"/>
    <s v="Sedam"/>
    <s v="Kamalapur"/>
    <s v="754/8"/>
    <s v="Lingappa Reddy"/>
    <n v="1.48"/>
    <x v="1"/>
    <s v="Cleared"/>
    <x v="0"/>
    <x v="3"/>
    <m/>
  </r>
  <r>
    <s v="LND-0114"/>
    <x v="5"/>
    <s v="Maharashtra"/>
    <x v="8"/>
    <s v="Indapur"/>
    <s v="Nimgaon Ketki"/>
    <s v="Gut No. 852/6"/>
    <s v="Dnyandev Thorat"/>
    <n v="4.3"/>
    <x v="0"/>
    <s v="In Progress"/>
    <x v="0"/>
    <x v="1"/>
    <m/>
  </r>
  <r>
    <s v="LND-0253"/>
    <x v="8"/>
    <s v="Maharashtra"/>
    <x v="2"/>
    <s v="Mohol"/>
    <s v="Mohol"/>
    <s v="719/1"/>
    <s v="Pandhari Sutar"/>
    <n v="4.79"/>
    <x v="3"/>
    <s v="In Progress"/>
    <x v="0"/>
    <x v="2"/>
    <m/>
  </r>
  <r>
    <s v="LND-0218"/>
    <x v="15"/>
    <s v="Maharashtra"/>
    <x v="6"/>
    <s v="Ausa"/>
    <s v="Ausa"/>
    <s v="Gut No. 613/8"/>
    <s v="Pramod Bhosale"/>
    <n v="2.9"/>
    <x v="1"/>
    <s v="Cleared"/>
    <x v="1"/>
    <x v="2"/>
    <m/>
  </r>
  <r>
    <s v="LND-0480"/>
    <x v="1"/>
    <s v="Karnataka"/>
    <x v="0"/>
    <s v="Ron"/>
    <s v="Kanaginahal"/>
    <s v="788/2"/>
    <s v="Ashok Kulkarni"/>
    <n v="1.42"/>
    <x v="2"/>
    <s v="Pending"/>
    <x v="0"/>
    <x v="0"/>
    <m/>
  </r>
  <r>
    <s v="LND-0447"/>
    <x v="9"/>
    <s v="Karnataka"/>
    <x v="0"/>
    <s v="Gadag"/>
    <s v="Ron"/>
    <s v="262/3"/>
    <s v="Shivanand Rao"/>
    <n v="1.4"/>
    <x v="3"/>
    <s v="In Progress"/>
    <x v="0"/>
    <x v="2"/>
    <m/>
  </r>
  <r>
    <s v="LND-0394"/>
    <x v="4"/>
    <s v="Karnataka"/>
    <x v="1"/>
    <s v="Bidar"/>
    <s v="Udgir"/>
    <s v="Gut No. 629/1"/>
    <s v="Nagaraj Bennur"/>
    <n v="4.8099999999999996"/>
    <x v="1"/>
    <s v="Disputed"/>
    <x v="1"/>
    <x v="3"/>
    <d v="2023-07-17T00:00:00"/>
  </r>
  <r>
    <s v="LND-0433"/>
    <x v="13"/>
    <s v="Karnataka"/>
    <x v="0"/>
    <s v="Ron"/>
    <s v="Kanaginahal"/>
    <s v="577/9"/>
    <s v="Nagappa Lamani"/>
    <n v="3.95"/>
    <x v="3"/>
    <s v="Cleared"/>
    <x v="0"/>
    <x v="2"/>
    <m/>
  </r>
  <r>
    <s v="LND-0061"/>
    <x v="8"/>
    <s v="Maharashtra"/>
    <x v="8"/>
    <s v="Baramati"/>
    <s v="Undewadi"/>
    <s v="654/8"/>
    <s v="Vitthal Patil"/>
    <n v="3.08"/>
    <x v="1"/>
    <s v="Disputed"/>
    <x v="1"/>
    <x v="3"/>
    <d v="2023-01-13T00:00:00"/>
  </r>
  <r>
    <s v="LND-0158"/>
    <x v="3"/>
    <s v="Maharashtra"/>
    <x v="8"/>
    <s v="Indapur"/>
    <s v="Bhandgaon"/>
    <s v="Gut No. 293/9"/>
    <s v="Ramesh Deshmukh"/>
    <n v="2.44"/>
    <x v="3"/>
    <s v="Disputed"/>
    <x v="0"/>
    <x v="2"/>
    <m/>
  </r>
  <r>
    <s v="LND-0336"/>
    <x v="11"/>
    <s v="Karnataka"/>
    <x v="1"/>
    <s v="Basavakalyan"/>
    <s v="Basavakalyan"/>
    <s v="791/8"/>
    <s v="Channappa Doddamani"/>
    <n v="4.8"/>
    <x v="0"/>
    <s v="In Progress"/>
    <x v="0"/>
    <x v="0"/>
    <m/>
  </r>
  <r>
    <s v="LND-0342"/>
    <x v="7"/>
    <s v="Karnataka"/>
    <x v="10"/>
    <s v="Raichur"/>
    <s v="Raichur"/>
    <s v="205/5"/>
    <s v="Nagaraj Desai"/>
    <n v="4.93"/>
    <x v="3"/>
    <s v="In Progress"/>
    <x v="0"/>
    <x v="1"/>
    <m/>
  </r>
  <r>
    <s v="LND-0322"/>
    <x v="7"/>
    <s v="Karnataka"/>
    <x v="0"/>
    <s v="Gadag"/>
    <s v="Gadag"/>
    <s v="Gut No. 153/2"/>
    <s v="Nagaraj Hiremath"/>
    <n v="0.84"/>
    <x v="2"/>
    <s v="Pending"/>
    <x v="0"/>
    <x v="0"/>
    <m/>
  </r>
  <r>
    <s v="LND-0084"/>
    <x v="2"/>
    <s v="Maharashtra"/>
    <x v="9"/>
    <s v="Hadgaon"/>
    <s v="Umri"/>
    <s v="510/3"/>
    <s v="Rajendra Dhole"/>
    <n v="3.37"/>
    <x v="1"/>
    <s v="Disputed"/>
    <x v="0"/>
    <x v="3"/>
    <m/>
  </r>
  <r>
    <s v="LND-0214"/>
    <x v="5"/>
    <s v="Maharashtra"/>
    <x v="3"/>
    <s v="Lohara"/>
    <s v="Washi"/>
    <s v="Gut No. 451/6"/>
    <s v="Mahadev Wagh"/>
    <n v="4.88"/>
    <x v="0"/>
    <s v="In Progress"/>
    <x v="0"/>
    <x v="1"/>
    <m/>
  </r>
  <r>
    <s v="LND-0295"/>
    <x v="4"/>
    <s v="Karnataka"/>
    <x v="4"/>
    <s v="Koppal"/>
    <s v="Kushtagi"/>
    <s v="Gut No. 899/7"/>
    <s v="Eranna Lamani"/>
    <n v="3.45"/>
    <x v="1"/>
    <s v="Cleared"/>
    <x v="0"/>
    <x v="3"/>
    <m/>
  </r>
  <r>
    <s v="LND-0492"/>
    <x v="1"/>
    <s v="Karnataka"/>
    <x v="1"/>
    <s v="Humnabad"/>
    <s v="Gadlegaon"/>
    <s v="Gut No. 334/9"/>
    <s v="Veeranna Hosamani"/>
    <n v="1.29"/>
    <x v="1"/>
    <s v="Cleared"/>
    <x v="0"/>
    <x v="3"/>
    <m/>
  </r>
  <r>
    <s v="LND-0003"/>
    <x v="15"/>
    <s v="Maharashtra"/>
    <x v="6"/>
    <s v="Ausa"/>
    <s v="Ahmedpur"/>
    <s v="221/6"/>
    <s v="Vitthal Jadhav"/>
    <n v="2.21"/>
    <x v="3"/>
    <s v="Cleared"/>
    <x v="0"/>
    <x v="2"/>
    <m/>
  </r>
  <r>
    <s v="LND-0438"/>
    <x v="0"/>
    <s v="Karnataka"/>
    <x v="1"/>
    <s v="Humnabad"/>
    <s v="Gadlegaon"/>
    <s v="Gut No. 81/1"/>
    <s v="Nagaraj Hugar"/>
    <n v="2.0699999999999998"/>
    <x v="1"/>
    <s v="Disputed"/>
    <x v="0"/>
    <x v="2"/>
    <m/>
  </r>
  <r>
    <s v="LND-0453"/>
    <x v="6"/>
    <s v="Karnataka"/>
    <x v="0"/>
    <s v="Gadag"/>
    <s v="Shirhatti"/>
    <s v="884/3"/>
    <s v="Fakeerappa Hiremath"/>
    <n v="4.59"/>
    <x v="1"/>
    <s v="Cleared"/>
    <x v="0"/>
    <x v="3"/>
    <m/>
  </r>
  <r>
    <s v="LND-0331"/>
    <x v="0"/>
    <s v="Karnataka"/>
    <x v="1"/>
    <s v="Humnabad"/>
    <s v="Kamalanagar"/>
    <s v="Gut No. 413/4"/>
    <s v="Mallappa Hosamani"/>
    <n v="2.5"/>
    <x v="1"/>
    <s v="Cleared"/>
    <x v="1"/>
    <x v="3"/>
    <d v="2023-10-10T00:00:00"/>
  </r>
  <r>
    <s v="LND-0098"/>
    <x v="12"/>
    <s v="Maharashtra"/>
    <x v="9"/>
    <s v="Hadgaon"/>
    <s v="Hadgaon"/>
    <s v="272/1"/>
    <s v="Shankar Londhe"/>
    <n v="2.39"/>
    <x v="2"/>
    <s v="Pending"/>
    <x v="0"/>
    <x v="0"/>
    <m/>
  </r>
  <r>
    <s v="LND-0106"/>
    <x v="5"/>
    <s v="Maharashtra"/>
    <x v="9"/>
    <s v="Biloli"/>
    <s v="Mukhed"/>
    <s v="Gut No. 30/3"/>
    <s v="Santosh Murkute"/>
    <n v="3.93"/>
    <x v="3"/>
    <s v="Cleared"/>
    <x v="0"/>
    <x v="1"/>
    <m/>
  </r>
  <r>
    <s v="LND-0191"/>
    <x v="12"/>
    <s v="Maharashtra"/>
    <x v="3"/>
    <s v="Lohara"/>
    <s v="Anatpal"/>
    <s v="Gut No. 937/1"/>
    <s v="Vilas Thorat"/>
    <n v="4.8600000000000003"/>
    <x v="0"/>
    <s v="In Progress"/>
    <x v="0"/>
    <x v="0"/>
    <m/>
  </r>
  <r>
    <s v="LND-0285"/>
    <x v="4"/>
    <s v="Karnataka"/>
    <x v="4"/>
    <s v="Koppal"/>
    <s v="Kushtagi"/>
    <s v="Gut No. 722/1"/>
    <s v="Yankappa Honnalli"/>
    <n v="1.24"/>
    <x v="1"/>
    <s v="Cleared"/>
    <x v="0"/>
    <x v="2"/>
    <m/>
  </r>
  <r>
    <s v="LND-0293"/>
    <x v="13"/>
    <s v="Karnataka"/>
    <x v="7"/>
    <s v="Sedam"/>
    <s v="Malkhed"/>
    <s v="Gut No. 328/2"/>
    <s v="Mallappa Lamani"/>
    <n v="3"/>
    <x v="3"/>
    <s v="Cleared"/>
    <x v="0"/>
    <x v="2"/>
    <m/>
  </r>
  <r>
    <s v="LND-0204"/>
    <x v="12"/>
    <s v="Maharashtra"/>
    <x v="2"/>
    <s v="Akkalkot"/>
    <s v="Wadwal Nagnath"/>
    <s v="Gut No. 278/1"/>
    <s v="Dnyandev Kadam"/>
    <n v="4.67"/>
    <x v="2"/>
    <s v="Pending"/>
    <x v="0"/>
    <x v="0"/>
    <m/>
  </r>
  <r>
    <s v="LND-0071"/>
    <x v="10"/>
    <s v="Maharashtra"/>
    <x v="6"/>
    <s v="Ausa"/>
    <s v="Ahmedpur"/>
    <s v="879/3"/>
    <s v="Bhagwan Thorat"/>
    <n v="3.62"/>
    <x v="3"/>
    <s v="Disputed"/>
    <x v="0"/>
    <x v="2"/>
    <m/>
  </r>
  <r>
    <s v="LND-0425"/>
    <x v="1"/>
    <s v="Karnataka"/>
    <x v="1"/>
    <s v="Humnabad"/>
    <s v="Gadlegaon"/>
    <s v="Gut No. 752/3"/>
    <s v="Basavaraj Gudadinni"/>
    <n v="4.3600000000000003"/>
    <x v="0"/>
    <s v="In Progress"/>
    <x v="0"/>
    <x v="0"/>
    <m/>
  </r>
  <r>
    <s v="LND-0321"/>
    <x v="0"/>
    <s v="Karnataka"/>
    <x v="7"/>
    <s v="Kalaburagi"/>
    <s v="Chitapur"/>
    <s v="Gut No. 933/4"/>
    <s v="Ramesh Biradar"/>
    <n v="1.99"/>
    <x v="2"/>
    <s v="Pending"/>
    <x v="0"/>
    <x v="0"/>
    <m/>
  </r>
  <r>
    <s v="LND-0312"/>
    <x v="7"/>
    <s v="Karnataka"/>
    <x v="10"/>
    <s v="Sindhanur"/>
    <s v="Maski"/>
    <s v="591/3"/>
    <s v="Devendrappa Naik"/>
    <n v="1.08"/>
    <x v="1"/>
    <s v="Disputed"/>
    <x v="1"/>
    <x v="3"/>
    <d v="2024-09-04T00:00:00"/>
  </r>
  <r>
    <s v="LND-0262"/>
    <x v="15"/>
    <s v="Maharashtra"/>
    <x v="3"/>
    <s v="Osmanabad"/>
    <s v="Osmanabad"/>
    <s v="919/9"/>
    <s v="Mahadev Murkute"/>
    <n v="4.53"/>
    <x v="1"/>
    <s v="Cleared"/>
    <x v="0"/>
    <x v="2"/>
    <m/>
  </r>
  <r>
    <s v="LND-0184"/>
    <x v="3"/>
    <s v="Maharashtra"/>
    <x v="8"/>
    <s v="Indapur"/>
    <s v="Indapur"/>
    <s v="Gut No. 419/3"/>
    <s v="Kisan Kulkarni"/>
    <n v="3.95"/>
    <x v="1"/>
    <s v="Disputed"/>
    <x v="1"/>
    <x v="3"/>
    <d v="2024-02-13T00:00:00"/>
  </r>
  <r>
    <s v="LND-0102"/>
    <x v="12"/>
    <s v="Maharashtra"/>
    <x v="6"/>
    <s v="Ausa"/>
    <s v="Nilanga"/>
    <s v="Gut No. 348/8"/>
    <s v="Dattatray Thorat"/>
    <n v="3.78"/>
    <x v="3"/>
    <s v="Cleared"/>
    <x v="0"/>
    <x v="2"/>
    <m/>
  </r>
  <r>
    <s v="LND-0335"/>
    <x v="7"/>
    <s v="Karnataka"/>
    <x v="7"/>
    <s v="Yadgir"/>
    <s v="Shorapur"/>
    <s v="Gut No. 110/5"/>
    <s v="Anil Nayak"/>
    <n v="1.34"/>
    <x v="1"/>
    <s v="Cleared"/>
    <x v="1"/>
    <x v="2"/>
    <m/>
  </r>
  <r>
    <s v="LND-0419"/>
    <x v="6"/>
    <s v="Karnataka"/>
    <x v="10"/>
    <s v="Sindhanur"/>
    <s v="Mudgal"/>
    <s v="Gut No. 163/1"/>
    <s v="Srinivas Bennur"/>
    <n v="2.84"/>
    <x v="3"/>
    <s v="Cleared"/>
    <x v="0"/>
    <x v="2"/>
    <m/>
  </r>
  <r>
    <s v="LND-0023"/>
    <x v="15"/>
    <s v="Maharashtra"/>
    <x v="8"/>
    <s v="Haveli"/>
    <s v="Uruli Kanchan"/>
    <s v="414/2"/>
    <s v="Pramod Gaikwad"/>
    <n v="3.11"/>
    <x v="2"/>
    <s v="Pending"/>
    <x v="0"/>
    <x v="0"/>
    <m/>
  </r>
  <r>
    <s v="LND-0209"/>
    <x v="10"/>
    <s v="Maharashtra"/>
    <x v="8"/>
    <s v="Baramati"/>
    <s v="Malegaon"/>
    <s v="Gut No. 456/6"/>
    <s v="Kisan Mane"/>
    <n v="0.96"/>
    <x v="2"/>
    <s v="Pending"/>
    <x v="0"/>
    <x v="0"/>
    <m/>
  </r>
  <r>
    <s v="LND-0319"/>
    <x v="0"/>
    <s v="Karnataka"/>
    <x v="10"/>
    <s v="Manvi"/>
    <s v="Manvi"/>
    <s v="Gut No. 638/3"/>
    <s v="Yankappa Gowda"/>
    <n v="2.8"/>
    <x v="2"/>
    <s v="Pending"/>
    <x v="0"/>
    <x v="0"/>
    <m/>
  </r>
  <r>
    <s v="LND-0448"/>
    <x v="7"/>
    <s v="Karnataka"/>
    <x v="1"/>
    <s v="Basavakalyan"/>
    <s v="Hulsoor"/>
    <s v="Gut No. 886/2"/>
    <s v="Basavaraj Rao"/>
    <n v="4.4000000000000004"/>
    <x v="1"/>
    <s v="Cleared"/>
    <x v="1"/>
    <x v="2"/>
    <m/>
  </r>
  <r>
    <s v="LND-0224"/>
    <x v="14"/>
    <s v="Maharashtra"/>
    <x v="2"/>
    <s v="Barshi"/>
    <s v="Shegaon"/>
    <s v="656/7"/>
    <s v="Dattatray Patil"/>
    <n v="3.82"/>
    <x v="0"/>
    <s v="In Progress"/>
    <x v="0"/>
    <x v="1"/>
    <m/>
  </r>
  <r>
    <s v="LND-0401"/>
    <x v="13"/>
    <s v="Karnataka"/>
    <x v="1"/>
    <s v="Humnabad"/>
    <s v="Kamalanagar"/>
    <s v="221/5"/>
    <s v="Devendrappa Honnalli"/>
    <n v="0.93"/>
    <x v="3"/>
    <s v="Cleared"/>
    <x v="0"/>
    <x v="2"/>
    <m/>
  </r>
  <r>
    <s v="LND-0070"/>
    <x v="8"/>
    <s v="Maharashtra"/>
    <x v="9"/>
    <s v="Biloli"/>
    <s v="Deglur"/>
    <s v="Gut No. 532/8"/>
    <s v="Santosh More"/>
    <n v="4.99"/>
    <x v="1"/>
    <s v="Disputed"/>
    <x v="0"/>
    <x v="3"/>
    <m/>
  </r>
  <r>
    <s v="LND-0454"/>
    <x v="4"/>
    <s v="Karnataka"/>
    <x v="4"/>
    <s v="Kushtagi"/>
    <s v="Kushtagi"/>
    <s v="326/3"/>
    <s v="Srinivas Patil"/>
    <n v="3.94"/>
    <x v="1"/>
    <s v="Disputed"/>
    <x v="1"/>
    <x v="3"/>
    <d v="2023-07-15T00:00:00"/>
  </r>
  <r>
    <s v="LND-0194"/>
    <x v="12"/>
    <s v="Maharashtra"/>
    <x v="2"/>
    <s v="Akkalkot"/>
    <s v="Akkalkot"/>
    <s v="Gut No. 937/4"/>
    <s v="Laxman Yadav"/>
    <n v="3.67"/>
    <x v="1"/>
    <s v="Cleared"/>
    <x v="1"/>
    <x v="3"/>
    <d v="2024-02-19T00:00:00"/>
  </r>
  <r>
    <s v="LND-0016"/>
    <x v="2"/>
    <s v="Maharashtra"/>
    <x v="8"/>
    <s v="Baramati"/>
    <s v="Pargaon"/>
    <s v="881/6"/>
    <s v="Dnyandev Naik"/>
    <n v="1.57"/>
    <x v="1"/>
    <s v="Cleared"/>
    <x v="0"/>
    <x v="3"/>
    <m/>
  </r>
  <r>
    <s v="LND-0042"/>
    <x v="3"/>
    <s v="Maharashtra"/>
    <x v="9"/>
    <s v="Biloli"/>
    <s v="Biloli"/>
    <s v="Gut No. 137/8"/>
    <s v="Subhash Naik"/>
    <n v="4.95"/>
    <x v="3"/>
    <s v="Cleared"/>
    <x v="0"/>
    <x v="2"/>
    <m/>
  </r>
  <r>
    <s v="LND-0497"/>
    <x v="13"/>
    <s v="Karnataka"/>
    <x v="4"/>
    <s v="Koppal"/>
    <s v="Gangavathi"/>
    <s v="Gut No. 143/4"/>
    <s v="Suresh Lamani"/>
    <n v="4.29"/>
    <x v="3"/>
    <s v="Cleared"/>
    <x v="0"/>
    <x v="1"/>
    <m/>
  </r>
  <r>
    <s v="LND-0397"/>
    <x v="11"/>
    <s v="Karnataka"/>
    <x v="5"/>
    <s v="Muddebihal"/>
    <s v="Devara Hippargi"/>
    <s v="562/5"/>
    <s v="Revanasiddappa Swamy"/>
    <n v="2.62"/>
    <x v="3"/>
    <s v="Cleared"/>
    <x v="0"/>
    <x v="1"/>
    <m/>
  </r>
  <r>
    <s v="LND-0292"/>
    <x v="9"/>
    <s v="Karnataka"/>
    <x v="1"/>
    <s v="Basavakalyan"/>
    <s v="Kamalnagar"/>
    <s v="996/4"/>
    <s v="Nagappa Kulkarni"/>
    <n v="0.69"/>
    <x v="2"/>
    <s v="Pending"/>
    <x v="0"/>
    <x v="0"/>
    <m/>
  </r>
  <r>
    <s v="LND-0203"/>
    <x v="3"/>
    <s v="Maharashtra"/>
    <x v="2"/>
    <s v="Mohol"/>
    <s v="Pandharpur"/>
    <s v="Gut No. 661/6"/>
    <s v="Pramod Deshmukh"/>
    <n v="4.53"/>
    <x v="2"/>
    <s v="Pending"/>
    <x v="0"/>
    <x v="0"/>
    <m/>
  </r>
  <r>
    <s v="LND-0426"/>
    <x v="13"/>
    <s v="Karnataka"/>
    <x v="7"/>
    <s v="Sedam"/>
    <s v="Sannati"/>
    <s v="628/5"/>
    <s v="Gurusiddappa Kamble"/>
    <n v="3.38"/>
    <x v="2"/>
    <s v="Pending"/>
    <x v="0"/>
    <x v="0"/>
    <m/>
  </r>
  <r>
    <s v="LND-0387"/>
    <x v="9"/>
    <s v="Karnataka"/>
    <x v="1"/>
    <s v="Basavakalyan"/>
    <s v="Udgir"/>
    <s v="Gut No. 686/7"/>
    <s v="Mahantappa Doddamani"/>
    <n v="1.4"/>
    <x v="2"/>
    <s v="Pending"/>
    <x v="0"/>
    <x v="0"/>
    <m/>
  </r>
  <r>
    <s v="LND-0231"/>
    <x v="15"/>
    <s v="Maharashtra"/>
    <x v="8"/>
    <s v="Haveli"/>
    <s v="Uruli Kanchan"/>
    <s v="300/1"/>
    <s v="Santosh Gaikwad"/>
    <n v="2.92"/>
    <x v="0"/>
    <s v="In Progress"/>
    <x v="0"/>
    <x v="1"/>
    <m/>
  </r>
  <r>
    <s v="LND-0026"/>
    <x v="12"/>
    <s v="Maharashtra"/>
    <x v="9"/>
    <s v="Hadgaon"/>
    <s v="Kinwat"/>
    <s v="Gut No. 903/2"/>
    <s v="Rajendra Waghmare"/>
    <n v="1.78"/>
    <x v="1"/>
    <s v="Disputed"/>
    <x v="0"/>
    <x v="3"/>
    <m/>
  </r>
  <r>
    <s v="LND-0157"/>
    <x v="14"/>
    <s v="Maharashtra"/>
    <x v="9"/>
    <s v="Hadgaon"/>
    <s v="Bhokar"/>
    <s v="Gut No. 510/1"/>
    <s v="Dnyandev Bhosale"/>
    <n v="2.77"/>
    <x v="0"/>
    <s v="Pending"/>
    <x v="0"/>
    <x v="1"/>
    <m/>
  </r>
  <r>
    <s v="LND-0225"/>
    <x v="5"/>
    <s v="Maharashtra"/>
    <x v="8"/>
    <s v="Haveli"/>
    <s v="Koregaon Bhima"/>
    <s v="286/2"/>
    <s v="Pramod Deshmukh"/>
    <n v="4.0999999999999996"/>
    <x v="0"/>
    <s v="In Progress"/>
    <x v="0"/>
    <x v="1"/>
    <m/>
  </r>
  <r>
    <s v="LND-0029"/>
    <x v="15"/>
    <s v="Maharashtra"/>
    <x v="6"/>
    <s v="Chakur"/>
    <s v="Kinhala"/>
    <s v="115/2"/>
    <s v="Laxman Kulkarni"/>
    <n v="2.96"/>
    <x v="3"/>
    <s v="Disputed"/>
    <x v="0"/>
    <x v="1"/>
    <m/>
  </r>
  <r>
    <s v="LND-0127"/>
    <x v="14"/>
    <s v="Maharashtra"/>
    <x v="2"/>
    <s v="Barshi"/>
    <s v="Bhalwani"/>
    <s v="Gut No. 473/5"/>
    <s v="Kisan Bhosale"/>
    <n v="2.76"/>
    <x v="1"/>
    <s v="Cleared"/>
    <x v="0"/>
    <x v="2"/>
    <m/>
  </r>
  <r>
    <s v="LND-0370"/>
    <x v="0"/>
    <s v="Karnataka"/>
    <x v="10"/>
    <s v="Raichur"/>
    <s v="Lingsugur"/>
    <s v="Gut No. 362/6"/>
    <s v="Devendrappa Biradar"/>
    <n v="4.49"/>
    <x v="2"/>
    <s v="Pending"/>
    <x v="0"/>
    <x v="0"/>
    <m/>
  </r>
  <r>
    <s v="LND-0228"/>
    <x v="12"/>
    <s v="Maharashtra"/>
    <x v="3"/>
    <s v="Osmanabad"/>
    <s v="Kalamb"/>
    <s v="Gut No. 711/3"/>
    <s v="Anil Bhosale"/>
    <n v="2.38"/>
    <x v="0"/>
    <s v="In Progress"/>
    <x v="0"/>
    <x v="1"/>
    <m/>
  </r>
  <r>
    <s v="LND-0064"/>
    <x v="14"/>
    <s v="Maharashtra"/>
    <x v="3"/>
    <s v="Lohara"/>
    <s v="Washi"/>
    <s v="Gut No. 583/1"/>
    <s v="Balasaheb Londhe"/>
    <n v="0.95"/>
    <x v="0"/>
    <s v="Pending"/>
    <x v="0"/>
    <x v="1"/>
    <m/>
  </r>
  <r>
    <s v="LND-0153"/>
    <x v="14"/>
    <s v="Maharashtra"/>
    <x v="9"/>
    <s v="Hadgaon"/>
    <s v="Mahur"/>
    <s v="Gut No. 251/7"/>
    <s v="Popat Dhole"/>
    <n v="0.83"/>
    <x v="2"/>
    <s v="Pending"/>
    <x v="0"/>
    <x v="0"/>
    <m/>
  </r>
  <r>
    <s v="LND-0422"/>
    <x v="7"/>
    <s v="Karnataka"/>
    <x v="5"/>
    <s v="Muddebihal"/>
    <s v="Shirahatti"/>
    <s v="129/8"/>
    <s v="Revanasiddappa Hugar"/>
    <n v="4.92"/>
    <x v="3"/>
    <s v="Cleared"/>
    <x v="0"/>
    <x v="1"/>
    <m/>
  </r>
  <r>
    <s v="LND-0406"/>
    <x v="6"/>
    <s v="Karnataka"/>
    <x v="7"/>
    <s v="Yadgir"/>
    <s v="Yadgir"/>
    <s v="66/8"/>
    <s v="Suresh Reddy"/>
    <n v="0.62"/>
    <x v="1"/>
    <s v="Cleared"/>
    <x v="0"/>
    <x v="3"/>
    <m/>
  </r>
  <r>
    <s v="LND-0105"/>
    <x v="2"/>
    <s v="Maharashtra"/>
    <x v="9"/>
    <s v="Biloli"/>
    <s v="Deglur"/>
    <s v="Gut No. 230/2"/>
    <s v="Narayan Chavan"/>
    <n v="2.15"/>
    <x v="3"/>
    <s v="Disputed"/>
    <x v="0"/>
    <x v="1"/>
    <m/>
  </r>
  <r>
    <s v="LND-0009"/>
    <x v="15"/>
    <s v="Maharashtra"/>
    <x v="9"/>
    <s v="Hadgaon"/>
    <s v="Hadgaon"/>
    <s v="882/2"/>
    <s v="Shankar Wagh"/>
    <n v="1.22"/>
    <x v="1"/>
    <s v="Cleared"/>
    <x v="1"/>
    <x v="3"/>
    <d v="2024-08-16T00:00:00"/>
  </r>
  <r>
    <s v="LND-0076"/>
    <x v="5"/>
    <s v="Maharashtra"/>
    <x v="6"/>
    <s v="Ausa"/>
    <s v="Nilanga"/>
    <s v="Gut No. 565/3"/>
    <s v="Dattatray Kale"/>
    <n v="4.6500000000000004"/>
    <x v="0"/>
    <s v="Pending"/>
    <x v="0"/>
    <x v="1"/>
    <m/>
  </r>
  <r>
    <s v="LND-0107"/>
    <x v="15"/>
    <s v="Maharashtra"/>
    <x v="2"/>
    <s v="Akkalkot"/>
    <s v="Khanderajuri"/>
    <s v="146/1"/>
    <s v="Dnyandev Londhe"/>
    <n v="2.89"/>
    <x v="1"/>
    <s v="Disputed"/>
    <x v="1"/>
    <x v="3"/>
    <d v="2022-11-19T00:00:00"/>
  </r>
  <r>
    <s v="LND-0174"/>
    <x v="8"/>
    <s v="Maharashtra"/>
    <x v="9"/>
    <s v="Biloli"/>
    <s v="Kandhar"/>
    <s v="Gut No. 466/9"/>
    <s v="Anil Sutar"/>
    <n v="4.5"/>
    <x v="0"/>
    <s v="In Progress"/>
    <x v="0"/>
    <x v="1"/>
    <m/>
  </r>
  <r>
    <s v="LND-0500"/>
    <x v="9"/>
    <s v="Karnataka"/>
    <x v="10"/>
    <s v="Manvi"/>
    <s v="Manvi"/>
    <s v="Gut No. 868/4"/>
    <s v="Ramesh Hiremath"/>
    <n v="1.71"/>
    <x v="3"/>
    <s v="In Progress"/>
    <x v="0"/>
    <x v="1"/>
    <m/>
  </r>
  <r>
    <s v="LND-0117"/>
    <x v="15"/>
    <s v="Maharashtra"/>
    <x v="6"/>
    <s v="Ausa"/>
    <s v="Chakur"/>
    <s v="Gut No. 698/6"/>
    <s v="Raju Wagh"/>
    <n v="1.92"/>
    <x v="1"/>
    <s v="Cleared"/>
    <x v="1"/>
    <x v="3"/>
    <d v="2023-09-13T00:00:00"/>
  </r>
  <r>
    <s v="LND-0025"/>
    <x v="15"/>
    <s v="Maharashtra"/>
    <x v="3"/>
    <s v="Tuljapur"/>
    <s v="Murud"/>
    <d v="2026-10-08T00:00:00"/>
    <s v="Balasaheb Sawant"/>
    <n v="4.9800000000000004"/>
    <x v="2"/>
    <s v="Pending"/>
    <x v="0"/>
    <x v="0"/>
    <m/>
  </r>
  <r>
    <s v="LND-0463"/>
    <x v="0"/>
    <s v="Karnataka"/>
    <x v="5"/>
    <s v="Muddebihal"/>
    <s v="Shirahatti"/>
    <s v="94/2"/>
    <s v="Ramesh Hosamani"/>
    <n v="3.35"/>
    <x v="2"/>
    <s v="Pending"/>
    <x v="0"/>
    <x v="0"/>
    <m/>
  </r>
  <r>
    <s v="LND-0304"/>
    <x v="7"/>
    <s v="Karnataka"/>
    <x v="4"/>
    <s v="Kushtagi"/>
    <s v="Bettadur"/>
    <s v="Gut No. 306/2"/>
    <s v="Devendrappa Naik"/>
    <n v="2.0099999999999998"/>
    <x v="3"/>
    <s v="Disputed"/>
    <x v="0"/>
    <x v="2"/>
    <m/>
  </r>
  <r>
    <s v="LND-0495"/>
    <x v="4"/>
    <s v="Karnataka"/>
    <x v="4"/>
    <s v="Koppal"/>
    <s v="Kanakagiri"/>
    <s v="Gut No. 868/3"/>
    <s v="Fakeerappa Reddy"/>
    <n v="2.16"/>
    <x v="2"/>
    <s v="Pending"/>
    <x v="0"/>
    <x v="0"/>
    <m/>
  </r>
  <r>
    <s v="LND-0004"/>
    <x v="3"/>
    <s v="Maharashtra"/>
    <x v="6"/>
    <s v="Chakur"/>
    <s v="Chakur"/>
    <s v="Gut No. 81/9"/>
    <s v="Popat Wagh"/>
    <n v="3.28"/>
    <x v="3"/>
    <s v="Disputed"/>
    <x v="0"/>
    <x v="1"/>
    <m/>
  </r>
  <r>
    <s v="LND-0034"/>
    <x v="8"/>
    <s v="Maharashtra"/>
    <x v="3"/>
    <s v="Lohara"/>
    <s v="Bhoom"/>
    <s v="Gut No. 696/9"/>
    <s v="Bhagwan Patil"/>
    <n v="1.02"/>
    <x v="3"/>
    <s v="In Progress"/>
    <x v="0"/>
    <x v="2"/>
    <m/>
  </r>
  <r>
    <s v="LND-0330"/>
    <x v="7"/>
    <s v="Karnataka"/>
    <x v="0"/>
    <s v="Gadag"/>
    <s v="Shirhatti"/>
    <s v="Gut No. 873/8"/>
    <s v="Siddappa Naik"/>
    <n v="3.88"/>
    <x v="3"/>
    <s v="In Progress"/>
    <x v="0"/>
    <x v="2"/>
    <m/>
  </r>
  <r>
    <s v="LND-0012"/>
    <x v="8"/>
    <s v="Maharashtra"/>
    <x v="9"/>
    <s v="Biloli"/>
    <s v="Deglur"/>
    <s v="Gut No. 781/3"/>
    <s v="Vilas Naik"/>
    <n v="4.63"/>
    <x v="3"/>
    <s v="Cleared"/>
    <x v="0"/>
    <x v="1"/>
    <m/>
  </r>
  <r>
    <s v="LND-0393"/>
    <x v="6"/>
    <s v="Karnataka"/>
    <x v="10"/>
    <s v="Manvi"/>
    <s v="Turvihal"/>
    <s v="754/4"/>
    <s v="Eranna Nayak"/>
    <n v="1.53"/>
    <x v="0"/>
    <s v="In Progress"/>
    <x v="0"/>
    <x v="0"/>
    <m/>
  </r>
  <r>
    <s v="LND-0439"/>
    <x v="7"/>
    <s v="Karnataka"/>
    <x v="0"/>
    <s v="Ron"/>
    <s v="Ron"/>
    <s v="Gut No. 537/1"/>
    <s v="Gurusiddappa Bennur"/>
    <n v="3.04"/>
    <x v="3"/>
    <s v="Disputed"/>
    <x v="0"/>
    <x v="1"/>
    <m/>
  </r>
  <r>
    <s v="LND-0355"/>
    <x v="11"/>
    <s v="Karnataka"/>
    <x v="1"/>
    <s v="Basavakalyan"/>
    <s v="Basavakalyan"/>
    <s v="657/2"/>
    <s v="Nagaraj Doddamani"/>
    <n v="0.7"/>
    <x v="2"/>
    <s v="Pending"/>
    <x v="0"/>
    <x v="0"/>
    <m/>
  </r>
  <r>
    <s v="LND-0037"/>
    <x v="2"/>
    <s v="Maharashtra"/>
    <x v="3"/>
    <s v="Lohara"/>
    <s v="Omerga"/>
    <s v="738/5"/>
    <s v="Anil Pawar"/>
    <n v="3.5"/>
    <x v="3"/>
    <s v="Cleared"/>
    <x v="0"/>
    <x v="2"/>
    <m/>
  </r>
  <r>
    <s v="LND-0362"/>
    <x v="11"/>
    <s v="Karnataka"/>
    <x v="4"/>
    <s v="Kushtagi"/>
    <s v="Bettadur"/>
    <s v="580/6"/>
    <s v="Gurusiddappa Kamble"/>
    <n v="1.26"/>
    <x v="3"/>
    <s v="In Progress"/>
    <x v="0"/>
    <x v="1"/>
    <m/>
  </r>
  <r>
    <s v="LND-0383"/>
    <x v="13"/>
    <s v="Karnataka"/>
    <x v="0"/>
    <s v="Gadag"/>
    <s v="Mundargi"/>
    <s v="766/4"/>
    <s v="Channappa Desai"/>
    <n v="0.95"/>
    <x v="1"/>
    <s v="Disputed"/>
    <x v="0"/>
    <x v="2"/>
    <m/>
  </r>
  <r>
    <s v="LND-0368"/>
    <x v="11"/>
    <s v="Karnataka"/>
    <x v="7"/>
    <s v="Kalaburagi"/>
    <s v="Yadgir"/>
    <s v="531/6"/>
    <s v="Mahantappa Biradar"/>
    <n v="4.63"/>
    <x v="2"/>
    <s v="Pending"/>
    <x v="0"/>
    <x v="0"/>
    <m/>
  </r>
  <r>
    <s v="LND-0236"/>
    <x v="15"/>
    <s v="Maharashtra"/>
    <x v="2"/>
    <s v="Mohol"/>
    <s v="Velapur"/>
    <s v="Gut No. 849/4"/>
    <s v="Kisan Kadam"/>
    <n v="2.27"/>
    <x v="0"/>
    <s v="In Progress"/>
    <x v="0"/>
    <x v="1"/>
    <m/>
  </r>
  <r>
    <s v="LND-0206"/>
    <x v="5"/>
    <s v="Maharashtra"/>
    <x v="2"/>
    <s v="Akkalkot"/>
    <s v="Akkalkot"/>
    <s v="Gut No. 55/2"/>
    <s v="Mahadev Gaikwad"/>
    <n v="4.2699999999999996"/>
    <x v="3"/>
    <s v="Disputed"/>
    <x v="0"/>
    <x v="2"/>
    <m/>
  </r>
  <r>
    <s v="LND-0192"/>
    <x v="8"/>
    <s v="Maharashtra"/>
    <x v="2"/>
    <s v="Barshi"/>
    <s v="Barshi"/>
    <s v="Gut No. 868/6"/>
    <s v="Dnyandev Chavan"/>
    <n v="3.76"/>
    <x v="0"/>
    <s v="Pending"/>
    <x v="0"/>
    <x v="1"/>
    <m/>
  </r>
  <r>
    <s v="LND-0395"/>
    <x v="1"/>
    <s v="Karnataka"/>
    <x v="7"/>
    <s v="Sedam"/>
    <s v="Devara Hippargi"/>
    <s v="Gut No. 228/3"/>
    <s v="Shivanand Hiremath"/>
    <n v="4.0999999999999996"/>
    <x v="1"/>
    <s v="Cleared"/>
    <x v="1"/>
    <x v="3"/>
    <d v="2022-12-24T00:00:00"/>
  </r>
  <r>
    <s v="LND-0260"/>
    <x v="12"/>
    <s v="Maharashtra"/>
    <x v="9"/>
    <s v="Biloli"/>
    <s v="Deglur"/>
    <s v="955/7"/>
    <s v="Ramesh Gaikwad"/>
    <n v="2.94"/>
    <x v="2"/>
    <s v="Pending"/>
    <x v="0"/>
    <x v="0"/>
    <m/>
  </r>
  <r>
    <s v="LND-0275"/>
    <x v="6"/>
    <s v="Karnataka"/>
    <x v="4"/>
    <s v="Gangavathi"/>
    <s v="Hospet"/>
    <s v="181/4"/>
    <s v="Rajesh Hugar"/>
    <n v="4.13"/>
    <x v="3"/>
    <s v="Disputed"/>
    <x v="0"/>
    <x v="1"/>
    <m/>
  </r>
  <r>
    <s v="LND-0468"/>
    <x v="9"/>
    <s v="Karnataka"/>
    <x v="1"/>
    <s v="Humnabad"/>
    <s v="Gadlegaon"/>
    <s v="Gut No. 340/2"/>
    <s v="Shivanand Gowda"/>
    <n v="2.38"/>
    <x v="0"/>
    <s v="Pending"/>
    <x v="0"/>
    <x v="1"/>
    <m/>
  </r>
  <r>
    <s v="LND-0186"/>
    <x v="3"/>
    <s v="Maharashtra"/>
    <x v="3"/>
    <s v="Tuljapur"/>
    <s v="Umarga"/>
    <s v="Gut No. 545/7"/>
    <s v="Sopan Gaikwad"/>
    <n v="1.61"/>
    <x v="3"/>
    <s v="In Progress"/>
    <x v="0"/>
    <x v="2"/>
    <m/>
  </r>
  <r>
    <s v="LND-0154"/>
    <x v="15"/>
    <s v="Maharashtra"/>
    <x v="6"/>
    <s v="Ausa"/>
    <s v="Deoni"/>
    <s v="Gut No. 209/6"/>
    <s v="Balasaheb Kulkarni"/>
    <n v="1.91"/>
    <x v="3"/>
    <s v="Disputed"/>
    <x v="0"/>
    <x v="2"/>
    <m/>
  </r>
  <r>
    <s v="LND-0315"/>
    <x v="0"/>
    <s v="Karnataka"/>
    <x v="5"/>
    <s v="Sindgi"/>
    <s v="Kolhar"/>
    <s v="Gut No. 445/3"/>
    <s v="Gurusiddappa Biradar"/>
    <n v="2.12"/>
    <x v="0"/>
    <s v="Pending"/>
    <x v="0"/>
    <x v="1"/>
    <m/>
  </r>
  <r>
    <s v="LND-0430"/>
    <x v="7"/>
    <s v="Karnataka"/>
    <x v="0"/>
    <s v="Gadag"/>
    <s v="Nargund"/>
    <s v="968/4"/>
    <s v="Ashok Gowda"/>
    <n v="0.96"/>
    <x v="0"/>
    <s v="In Progress"/>
    <x v="0"/>
    <x v="0"/>
    <m/>
  </r>
  <r>
    <s v="LND-0169"/>
    <x v="8"/>
    <s v="Maharashtra"/>
    <x v="8"/>
    <s v="Indapur"/>
    <s v="Bhandgaon"/>
    <s v="Gut No. 766/8"/>
    <s v="Ganpat Kale"/>
    <n v="4.2300000000000004"/>
    <x v="3"/>
    <s v="Disputed"/>
    <x v="0"/>
    <x v="2"/>
    <m/>
  </r>
  <r>
    <s v="LND-0499"/>
    <x v="13"/>
    <s v="Karnataka"/>
    <x v="10"/>
    <s v="Manvi"/>
    <s v="Kavital"/>
    <s v="Gut No. 639/3"/>
    <s v="Channappa Hiremath"/>
    <n v="2.41"/>
    <x v="1"/>
    <s v="Disputed"/>
    <x v="1"/>
    <x v="2"/>
    <m/>
  </r>
  <r>
    <s v="LND-0116"/>
    <x v="15"/>
    <s v="Maharashtra"/>
    <x v="2"/>
    <s v="Mohol"/>
    <s v="Sangola"/>
    <s v="Gut No. 203/3"/>
    <s v="Balasaheb Kulkarni"/>
    <n v="3.92"/>
    <x v="2"/>
    <s v="Pending"/>
    <x v="0"/>
    <x v="0"/>
    <m/>
  </r>
  <r>
    <s v="LND-0358"/>
    <x v="7"/>
    <s v="Karnataka"/>
    <x v="4"/>
    <s v="Kushtagi"/>
    <s v="Guttal"/>
    <s v="43/1"/>
    <s v="Rajesh Gudadinni"/>
    <n v="2.27"/>
    <x v="2"/>
    <s v="Pending"/>
    <x v="0"/>
    <x v="0"/>
    <m/>
  </r>
  <r>
    <s v="LND-0246"/>
    <x v="15"/>
    <s v="Maharashtra"/>
    <x v="8"/>
    <s v="Haveli"/>
    <s v="Wagholi"/>
    <s v="Gut No. 987/7"/>
    <s v="Bhagwan Kulkarni"/>
    <n v="1.62"/>
    <x v="2"/>
    <s v="Pending"/>
    <x v="0"/>
    <x v="0"/>
    <m/>
  </r>
  <r>
    <s v="LND-0486"/>
    <x v="4"/>
    <s v="Karnataka"/>
    <x v="10"/>
    <s v="Sindhanur"/>
    <s v="Maski"/>
    <s v="Gut No. 632/6"/>
    <s v="Fakeerappa Hugar"/>
    <n v="4.18"/>
    <x v="2"/>
    <s v="Pending"/>
    <x v="0"/>
    <x v="0"/>
    <m/>
  </r>
  <r>
    <s v="LND-0449"/>
    <x v="11"/>
    <s v="Karnataka"/>
    <x v="10"/>
    <s v="Manvi"/>
    <s v="Kavital"/>
    <s v="191/4"/>
    <s v="Ashok Hosamani"/>
    <n v="3.02"/>
    <x v="2"/>
    <s v="Pending"/>
    <x v="0"/>
    <x v="0"/>
    <m/>
  </r>
  <r>
    <s v="LND-0389"/>
    <x v="9"/>
    <s v="Karnataka"/>
    <x v="10"/>
    <s v="Manvi"/>
    <s v="Manvi"/>
    <s v="516/5"/>
    <s v="Gurusiddappa Gowda"/>
    <n v="4.1100000000000003"/>
    <x v="3"/>
    <s v="Disputed"/>
    <x v="0"/>
    <x v="2"/>
    <m/>
  </r>
  <r>
    <s v="LND-0235"/>
    <x v="10"/>
    <s v="Maharashtra"/>
    <x v="3"/>
    <s v="Tuljapur"/>
    <s v="Umarga"/>
    <s v="Gut No. 976/9"/>
    <s v="Subhash Deshmukh"/>
    <n v="1.1100000000000001"/>
    <x v="1"/>
    <s v="Cleared"/>
    <x v="1"/>
    <x v="2"/>
    <m/>
  </r>
  <r>
    <s v="LND-0390"/>
    <x v="1"/>
    <s v="Karnataka"/>
    <x v="10"/>
    <s v="Manvi"/>
    <s v="Hatti"/>
    <s v="776/6"/>
    <s v="Nagaraj Hosamani"/>
    <n v="3.57"/>
    <x v="2"/>
    <s v="Pending"/>
    <x v="0"/>
    <x v="0"/>
    <m/>
  </r>
  <r>
    <s v="LND-0299"/>
    <x v="13"/>
    <s v="Karnataka"/>
    <x v="7"/>
    <s v="Sedam"/>
    <s v="Kamalapur"/>
    <s v="178/4"/>
    <s v="Nagappa Reddy"/>
    <n v="1.62"/>
    <x v="1"/>
    <s v="Cleared"/>
    <x v="1"/>
    <x v="2"/>
    <m/>
  </r>
  <r>
    <s v="LND-0152"/>
    <x v="3"/>
    <s v="Maharashtra"/>
    <x v="8"/>
    <s v="Baramati"/>
    <s v="Malegaon"/>
    <s v="Gut No. 667/4"/>
    <s v="Kisan Sawant"/>
    <n v="2.37"/>
    <x v="2"/>
    <s v="Pending"/>
    <x v="0"/>
    <x v="0"/>
    <m/>
  </r>
  <r>
    <s v="LND-0411"/>
    <x v="1"/>
    <s v="Karnataka"/>
    <x v="4"/>
    <s v="Koppal"/>
    <s v="Yelburga"/>
    <s v="Gut No. 307/1"/>
    <s v="Nagaraj Kamble"/>
    <n v="4.09"/>
    <x v="0"/>
    <s v="Pending"/>
    <x v="0"/>
    <x v="1"/>
    <m/>
  </r>
  <r>
    <s v="LND-0470"/>
    <x v="0"/>
    <s v="Karnataka"/>
    <x v="10"/>
    <s v="Raichur"/>
    <s v="Raichur"/>
    <s v="Gut No. 338/9"/>
    <s v="Yankappa Hiremath"/>
    <n v="1.44"/>
    <x v="0"/>
    <s v="Pending"/>
    <x v="0"/>
    <x v="0"/>
    <m/>
  </r>
  <r>
    <s v="LND-0436"/>
    <x v="1"/>
    <s v="Karnataka"/>
    <x v="5"/>
    <s v="Vijayapura"/>
    <s v="Basavana Bagewadi"/>
    <s v="Gut No. 376/4"/>
    <s v="Revanasiddappa Swamy"/>
    <n v="4.1500000000000004"/>
    <x v="2"/>
    <s v="Pending"/>
    <x v="0"/>
    <x v="0"/>
    <m/>
  </r>
  <r>
    <s v="LND-0487"/>
    <x v="1"/>
    <s v="Karnataka"/>
    <x v="4"/>
    <s v="Koppal"/>
    <s v="Koppal"/>
    <s v="Gut No. 100/8"/>
    <s v="Fakeerappa Honnalli"/>
    <n v="3.7"/>
    <x v="1"/>
    <s v="Disputed"/>
    <x v="0"/>
    <x v="2"/>
    <m/>
  </r>
  <r>
    <s v="LND-0183"/>
    <x v="5"/>
    <s v="Maharashtra"/>
    <x v="3"/>
    <s v="Osmanabad"/>
    <s v="Naldurg"/>
    <s v="593/2"/>
    <s v="Suresh Thorat"/>
    <n v="2.0499999999999998"/>
    <x v="2"/>
    <s v="Pending"/>
    <x v="0"/>
    <x v="0"/>
    <m/>
  </r>
  <r>
    <s v="LND-0309"/>
    <x v="11"/>
    <s v="Karnataka"/>
    <x v="5"/>
    <s v="Sindgi"/>
    <s v="Kolhar"/>
    <s v="Gut No. 475/2"/>
    <s v="Devendrappa Reddy"/>
    <n v="4.4000000000000004"/>
    <x v="2"/>
    <s v="Pending"/>
    <x v="0"/>
    <x v="0"/>
    <m/>
  </r>
  <r>
    <s v="LND-0178"/>
    <x v="8"/>
    <s v="Maharashtra"/>
    <x v="3"/>
    <s v="Lohara"/>
    <s v="Anatpal"/>
    <s v="684/2"/>
    <s v="Arjun Pawar"/>
    <n v="1.22"/>
    <x v="3"/>
    <s v="Disputed"/>
    <x v="0"/>
    <x v="1"/>
    <m/>
  </r>
  <r>
    <s v="LND-0344"/>
    <x v="0"/>
    <s v="Karnataka"/>
    <x v="0"/>
    <s v="Gadag"/>
    <s v="Ron"/>
    <s v="Gut No. 427/6"/>
    <s v="Suresh Reddy"/>
    <n v="0.56000000000000005"/>
    <x v="3"/>
    <s v="In Progress"/>
    <x v="0"/>
    <x v="2"/>
    <m/>
  </r>
  <r>
    <s v="LND-0125"/>
    <x v="3"/>
    <s v="Maharashtra"/>
    <x v="3"/>
    <s v="Lohara"/>
    <s v="Anatpal"/>
    <s v="Gut No. 158/3"/>
    <s v="Pandhari Murkute"/>
    <n v="3.97"/>
    <x v="0"/>
    <s v="In Progress"/>
    <x v="0"/>
    <x v="0"/>
    <m/>
  </r>
  <r>
    <s v="LND-0364"/>
    <x v="9"/>
    <s v="Karnataka"/>
    <x v="0"/>
    <s v="Gadag"/>
    <s v="Nargund"/>
    <s v="913/9"/>
    <s v="Nagappa Swamy"/>
    <n v="3.8"/>
    <x v="2"/>
    <s v="Pending"/>
    <x v="0"/>
    <x v="0"/>
    <m/>
  </r>
  <r>
    <s v="LND-0382"/>
    <x v="6"/>
    <s v="Karnataka"/>
    <x v="10"/>
    <s v="Manvi"/>
    <s v="Kavital"/>
    <s v="Gut No. 184/6"/>
    <s v="Suresh Bennur"/>
    <n v="2.68"/>
    <x v="3"/>
    <s v="Disputed"/>
    <x v="0"/>
    <x v="2"/>
    <m/>
  </r>
  <r>
    <s v="LND-0250"/>
    <x v="3"/>
    <s v="Maharashtra"/>
    <x v="6"/>
    <s v="Chakur"/>
    <s v="Yednapur"/>
    <s v="Gut No. 434/7"/>
    <s v="Dnyandev Wagh"/>
    <n v="2.91"/>
    <x v="0"/>
    <s v="In Progress"/>
    <x v="0"/>
    <x v="0"/>
    <m/>
  </r>
  <r>
    <s v="LND-0371"/>
    <x v="9"/>
    <s v="Karnataka"/>
    <x v="10"/>
    <s v="Raichur"/>
    <s v="Manvi"/>
    <s v="527/5"/>
    <s v="Nagappa Kulkarni"/>
    <n v="1.34"/>
    <x v="3"/>
    <s v="Disputed"/>
    <x v="0"/>
    <x v="1"/>
    <m/>
  </r>
  <r>
    <s v="LND-0365"/>
    <x v="4"/>
    <s v="Karnataka"/>
    <x v="1"/>
    <s v="Humnabad"/>
    <s v="Humnabad"/>
    <s v="Gut No. 788/4"/>
    <s v="Shivanand Bennur"/>
    <n v="1.67"/>
    <x v="1"/>
    <s v="Cleared"/>
    <x v="1"/>
    <x v="3"/>
    <d v="2023-04-03T00:00:00"/>
  </r>
  <r>
    <s v="LND-0179"/>
    <x v="8"/>
    <s v="Maharashtra"/>
    <x v="3"/>
    <s v="Lohara"/>
    <s v="Anatpal"/>
    <s v="981/3"/>
    <s v="Sanjay Kulkarni"/>
    <n v="2.5499999999999998"/>
    <x v="3"/>
    <s v="Cleared"/>
    <x v="0"/>
    <x v="2"/>
    <m/>
  </r>
  <r>
    <s v="LND-0077"/>
    <x v="5"/>
    <s v="Maharashtra"/>
    <x v="3"/>
    <s v="Lohara"/>
    <s v="Omerga"/>
    <s v="290/5"/>
    <s v="Sopan Sawant"/>
    <n v="3.11"/>
    <x v="1"/>
    <s v="Cleared"/>
    <x v="1"/>
    <x v="3"/>
    <d v="2023-12-08T00:00:00"/>
  </r>
  <r>
    <s v="LND-0049"/>
    <x v="10"/>
    <s v="Maharashtra"/>
    <x v="3"/>
    <s v="Tuljapur"/>
    <s v="Murud"/>
    <s v="Gut No. 259/2"/>
    <s v="Sanjay Patil"/>
    <n v="3.87"/>
    <x v="2"/>
    <s v="Pending"/>
    <x v="0"/>
    <x v="0"/>
    <m/>
  </r>
  <r>
    <s v="LND-0450"/>
    <x v="7"/>
    <s v="Karnataka"/>
    <x v="7"/>
    <s v="Sedam"/>
    <s v="Devara Hippargi"/>
    <s v="Gut No. 502/7"/>
    <s v="Srinivas Desai"/>
    <n v="0.57999999999999996"/>
    <x v="3"/>
    <s v="Cleared"/>
    <x v="0"/>
    <x v="2"/>
    <m/>
  </r>
  <r>
    <s v="LND-0213"/>
    <x v="10"/>
    <s v="Maharashtra"/>
    <x v="3"/>
    <s v="Osmanabad"/>
    <s v="Naldurg"/>
    <s v="Gut No. 609/4"/>
    <s v="Arjun Deshmukh"/>
    <n v="1.1100000000000001"/>
    <x v="2"/>
    <s v="Pending"/>
    <x v="0"/>
    <x v="0"/>
    <m/>
  </r>
  <r>
    <s v="LND-0011"/>
    <x v="5"/>
    <s v="Maharashtra"/>
    <x v="2"/>
    <s v="Barshi"/>
    <s v="Barshi"/>
    <s v="Gut No. 996/9"/>
    <s v="Kisan More"/>
    <n v="2.78"/>
    <x v="2"/>
    <s v="Pending"/>
    <x v="0"/>
    <x v="0"/>
    <m/>
  </r>
  <r>
    <s v="LND-0280"/>
    <x v="6"/>
    <s v="Karnataka"/>
    <x v="0"/>
    <s v="Gadag"/>
    <s v="Ron"/>
    <s v="Gut No. 752/5"/>
    <s v="Hanumantha Desai"/>
    <n v="3.78"/>
    <x v="1"/>
    <s v="Cleared"/>
    <x v="0"/>
    <x v="3"/>
    <m/>
  </r>
  <r>
    <s v="LND-0476"/>
    <x v="1"/>
    <s v="Karnataka"/>
    <x v="10"/>
    <s v="Manvi"/>
    <s v="Manvi"/>
    <s v="Gut No. 579/6"/>
    <s v="Suresh Bennur"/>
    <n v="0.57999999999999996"/>
    <x v="3"/>
    <s v="Cleared"/>
    <x v="0"/>
    <x v="1"/>
    <m/>
  </r>
  <r>
    <s v="LND-0052"/>
    <x v="15"/>
    <s v="Maharashtra"/>
    <x v="3"/>
    <s v="Osmanabad"/>
    <s v="Shirur Anantpal"/>
    <s v="952/5"/>
    <s v="Pramod Kadam"/>
    <n v="4.59"/>
    <x v="1"/>
    <s v="Disputed"/>
    <x v="0"/>
    <x v="2"/>
    <m/>
  </r>
  <r>
    <s v="LND-0417"/>
    <x v="11"/>
    <s v="Karnataka"/>
    <x v="1"/>
    <s v="Bidar"/>
    <s v="Bidar"/>
    <s v="Gut No. 795/7"/>
    <s v="Mallappa Bennur"/>
    <n v="2.62"/>
    <x v="0"/>
    <s v="In Progress"/>
    <x v="0"/>
    <x v="1"/>
    <m/>
  </r>
  <r>
    <s v="LND-0353"/>
    <x v="4"/>
    <s v="Karnataka"/>
    <x v="7"/>
    <s v="Sedam"/>
    <s v="Sannati"/>
    <s v="765/3"/>
    <s v="Basavaraj Hosamani"/>
    <n v="3.73"/>
    <x v="2"/>
    <s v="Pending"/>
    <x v="0"/>
    <x v="0"/>
    <m/>
  </r>
  <r>
    <s v="LND-0118"/>
    <x v="8"/>
    <s v="Maharashtra"/>
    <x v="9"/>
    <s v="Biloli"/>
    <s v="Kandhar"/>
    <s v="318/8"/>
    <s v="Arjun Shinde"/>
    <n v="0.76"/>
    <x v="3"/>
    <s v="In Progress"/>
    <x v="0"/>
    <x v="1"/>
    <m/>
  </r>
  <r>
    <s v="LND-0021"/>
    <x v="5"/>
    <s v="Maharashtra"/>
    <x v="3"/>
    <s v="Tuljapur"/>
    <s v="Murud"/>
    <s v="Gut No. 714/9"/>
    <s v="Subhash Murkute"/>
    <n v="2.69"/>
    <x v="0"/>
    <s v="In Progress"/>
    <x v="0"/>
    <x v="0"/>
    <m/>
  </r>
  <r>
    <s v="LND-0088"/>
    <x v="8"/>
    <s v="Maharashtra"/>
    <x v="2"/>
    <s v="Akkalkot"/>
    <s v="Akkalkot"/>
    <s v="317/8"/>
    <s v="Suresh Sawant"/>
    <n v="2.14"/>
    <x v="0"/>
    <s v="Pending"/>
    <x v="0"/>
    <x v="1"/>
    <m/>
  </r>
  <r>
    <s v="LND-0333"/>
    <x v="0"/>
    <s v="Karnataka"/>
    <x v="4"/>
    <s v="Kushtagi"/>
    <s v="Guttal"/>
    <s v="Gut No. 974/6"/>
    <s v="Lingappa Reddy"/>
    <n v="4.17"/>
    <x v="1"/>
    <s v="Disputed"/>
    <x v="1"/>
    <x v="3"/>
    <d v="2024-07-15T00:00:00"/>
  </r>
  <r>
    <s v="LND-0094"/>
    <x v="5"/>
    <s v="Maharashtra"/>
    <x v="8"/>
    <s v="Indapur"/>
    <s v="Lonand"/>
    <s v="Gut No. 962/5"/>
    <s v="Suresh Murkute"/>
    <n v="2.17"/>
    <x v="1"/>
    <s v="Disputed"/>
    <x v="0"/>
    <x v="3"/>
    <m/>
  </r>
  <r>
    <s v="LND-0024"/>
    <x v="2"/>
    <s v="Maharashtra"/>
    <x v="6"/>
    <s v="Chakur"/>
    <s v="Salegaon"/>
    <s v="Gut No. 958/5"/>
    <s v="Ganpat Kadam"/>
    <n v="3.72"/>
    <x v="0"/>
    <s v="In Progress"/>
    <x v="0"/>
    <x v="1"/>
    <m/>
  </r>
  <r>
    <s v="LND-0284"/>
    <x v="9"/>
    <s v="Karnataka"/>
    <x v="10"/>
    <s v="Raichur"/>
    <s v="Raichur"/>
    <s v="Gut No. 21/6"/>
    <s v="Eranna Gowda"/>
    <n v="0.83"/>
    <x v="0"/>
    <s v="In Progress"/>
    <x v="0"/>
    <x v="0"/>
    <m/>
  </r>
  <r>
    <s v="LND-0346"/>
    <x v="9"/>
    <s v="Karnataka"/>
    <x v="7"/>
    <s v="Sedam"/>
    <s v="Kamalapur"/>
    <s v="387/1"/>
    <s v="Yankappa Swamy"/>
    <n v="3"/>
    <x v="0"/>
    <s v="Pending"/>
    <x v="0"/>
    <x v="1"/>
    <m/>
  </r>
  <r>
    <s v="LND-0015"/>
    <x v="5"/>
    <s v="Maharashtra"/>
    <x v="3"/>
    <s v="Tuljapur"/>
    <s v="Umarga"/>
    <s v="Gut No. 124/4"/>
    <s v="Rajendra Jadhav"/>
    <n v="2.02"/>
    <x v="0"/>
    <s v="Pending"/>
    <x v="0"/>
    <x v="0"/>
    <m/>
  </r>
  <r>
    <s v="LND-0479"/>
    <x v="9"/>
    <s v="Karnataka"/>
    <x v="1"/>
    <s v="Basavakalyan"/>
    <s v="Basavakalyan"/>
    <s v="936/2"/>
    <s v="Channappa Hiremath"/>
    <n v="0.61"/>
    <x v="1"/>
    <s v="Cleared"/>
    <x v="0"/>
    <x v="3"/>
    <m/>
  </r>
  <r>
    <s v="LND-0400"/>
    <x v="9"/>
    <s v="Karnataka"/>
    <x v="10"/>
    <s v="Sindhanur"/>
    <s v="Maski"/>
    <s v="Gut No. 805/8"/>
    <s v="Fakeerappa Swamy"/>
    <n v="3.03"/>
    <x v="2"/>
    <s v="Pending"/>
    <x v="0"/>
    <x v="0"/>
    <m/>
  </r>
  <r>
    <s v="LND-0175"/>
    <x v="12"/>
    <s v="Maharashtra"/>
    <x v="8"/>
    <s v="Indapur"/>
    <s v="Nimgaon Ketki"/>
    <s v="Gut No. 664/5"/>
    <s v="Laxman More"/>
    <n v="0.56000000000000005"/>
    <x v="3"/>
    <s v="Cleared"/>
    <x v="0"/>
    <x v="1"/>
    <m/>
  </r>
  <r>
    <s v="LND-0366"/>
    <x v="0"/>
    <s v="Karnataka"/>
    <x v="7"/>
    <s v="Yadgir"/>
    <s v="Wadagera"/>
    <s v="407/6"/>
    <s v="Ashok Patil"/>
    <n v="3.48"/>
    <x v="0"/>
    <s v="Pending"/>
    <x v="0"/>
    <x v="1"/>
    <m/>
  </r>
  <r>
    <s v="LND-0266"/>
    <x v="15"/>
    <s v="Maharashtra"/>
    <x v="3"/>
    <s v="Lohara"/>
    <s v="Bhoom"/>
    <s v="221/6"/>
    <s v="Shankar Jadhav"/>
    <n v="3.7"/>
    <x v="3"/>
    <s v="Cleared"/>
    <x v="0"/>
    <x v="1"/>
    <m/>
  </r>
  <r>
    <s v="LND-0138"/>
    <x v="8"/>
    <s v="Maharashtra"/>
    <x v="9"/>
    <s v="Hadgaon"/>
    <s v="Umri"/>
    <s v="Gut No. 260/1"/>
    <s v="Kisan Wagh"/>
    <n v="1.36"/>
    <x v="3"/>
    <s v="In Progress"/>
    <x v="0"/>
    <x v="2"/>
    <m/>
  </r>
  <r>
    <s v="LND-0308"/>
    <x v="1"/>
    <s v="Karnataka"/>
    <x v="7"/>
    <s v="Sedam"/>
    <s v="Devara Hippargi"/>
    <s v="970/6"/>
    <s v="Prakash Naik"/>
    <n v="1.5"/>
    <x v="0"/>
    <s v="In Progress"/>
    <x v="0"/>
    <x v="1"/>
    <m/>
  </r>
  <r>
    <s v="LND-0279"/>
    <x v="13"/>
    <s v="Karnataka"/>
    <x v="4"/>
    <s v="Koppal"/>
    <s v="Kushtagi"/>
    <s v="Gut No. 331/3"/>
    <s v="Siddappa Kamble"/>
    <n v="4.0599999999999996"/>
    <x v="1"/>
    <s v="Disputed"/>
    <x v="0"/>
    <x v="3"/>
    <m/>
  </r>
  <r>
    <s v="LND-0341"/>
    <x v="11"/>
    <s v="Karnataka"/>
    <x v="4"/>
    <s v="Gangavathi"/>
    <s v="Hampi"/>
    <s v="Gut No. 691/9"/>
    <s v="Fakeerappa Kamble"/>
    <n v="4.1399999999999997"/>
    <x v="2"/>
    <s v="Pending"/>
    <x v="0"/>
    <x v="0"/>
    <m/>
  </r>
  <r>
    <s v="LND-0220"/>
    <x v="3"/>
    <s v="Maharashtra"/>
    <x v="8"/>
    <s v="Indapur"/>
    <s v="Nimgaon Ketki"/>
    <s v="457/6"/>
    <s v="Dattatray Dhole"/>
    <n v="3.98"/>
    <x v="0"/>
    <s v="In Progress"/>
    <x v="0"/>
    <x v="0"/>
    <m/>
  </r>
  <r>
    <s v="LND-0210"/>
    <x v="15"/>
    <s v="Maharashtra"/>
    <x v="6"/>
    <s v="Ausa"/>
    <s v="Chakur"/>
    <s v="Gut No. 106/1"/>
    <s v="Dnyandev Waghmare"/>
    <n v="2.99"/>
    <x v="3"/>
    <s v="Cleared"/>
    <x v="0"/>
    <x v="1"/>
    <m/>
  </r>
  <r>
    <s v="LND-0377"/>
    <x v="1"/>
    <s v="Karnataka"/>
    <x v="4"/>
    <s v="Kushtagi"/>
    <s v="Kushtagi"/>
    <s v="96/8"/>
    <s v="Santosh Kulkarni"/>
    <n v="4.5599999999999996"/>
    <x v="2"/>
    <s v="Pending"/>
    <x v="0"/>
    <x v="0"/>
    <m/>
  </r>
  <r>
    <s v="LND-0441"/>
    <x v="4"/>
    <s v="Karnataka"/>
    <x v="10"/>
    <s v="Manvi"/>
    <s v="Manvi"/>
    <s v="Gut No. 269/2"/>
    <s v="Mahantappa Hiremath"/>
    <n v="2.46"/>
    <x v="0"/>
    <s v="Pending"/>
    <x v="0"/>
    <x v="1"/>
    <m/>
  </r>
  <r>
    <s v="LND-0494"/>
    <x v="0"/>
    <s v="Karnataka"/>
    <x v="10"/>
    <s v="Manvi"/>
    <s v="Kavital"/>
    <s v="Gut No. 201/4"/>
    <s v="Santosh Hugar"/>
    <n v="1.85"/>
    <x v="3"/>
    <s v="Cleared"/>
    <x v="0"/>
    <x v="2"/>
    <m/>
  </r>
  <r>
    <s v="LND-0405"/>
    <x v="13"/>
    <s v="Karnataka"/>
    <x v="5"/>
    <s v="Sindgi"/>
    <s v="Tikota"/>
    <s v="Gut No. 424/3"/>
    <s v="Siddappa Patil"/>
    <n v="1.06"/>
    <x v="0"/>
    <s v="In Progress"/>
    <x v="0"/>
    <x v="0"/>
    <m/>
  </r>
  <r>
    <s v="LND-0427"/>
    <x v="4"/>
    <s v="Karnataka"/>
    <x v="4"/>
    <s v="Kushtagi"/>
    <s v="Kushtagi"/>
    <s v="856/3"/>
    <s v="Siddappa Reddy"/>
    <n v="1.41"/>
    <x v="1"/>
    <s v="Cleared"/>
    <x v="0"/>
    <x v="2"/>
    <m/>
  </r>
  <r>
    <s v="LND-0256"/>
    <x v="2"/>
    <s v="Maharashtra"/>
    <x v="2"/>
    <s v="Akkalkot"/>
    <s v="Wadwal Nagnath"/>
    <s v="46/1"/>
    <s v="Rajendra Shinde"/>
    <n v="2.62"/>
    <x v="1"/>
    <s v="Cleared"/>
    <x v="0"/>
    <x v="2"/>
    <m/>
  </r>
  <r>
    <s v="LND-0324"/>
    <x v="0"/>
    <s v="Karnataka"/>
    <x v="5"/>
    <s v="Muddebihal"/>
    <s v="Devara Hippargi"/>
    <s v="Gut No. 757/2"/>
    <s v="Veeranna Reddy"/>
    <n v="0.54"/>
    <x v="0"/>
    <s v="Pending"/>
    <x v="0"/>
    <x v="1"/>
    <m/>
  </r>
  <r>
    <s v="LND-0208"/>
    <x v="8"/>
    <s v="Maharashtra"/>
    <x v="2"/>
    <s v="Akkalkot"/>
    <s v="Akkalkot"/>
    <s v="275/3"/>
    <s v="Dattatray Murkute"/>
    <n v="4.03"/>
    <x v="0"/>
    <s v="In Progress"/>
    <x v="0"/>
    <x v="1"/>
    <m/>
  </r>
  <r>
    <s v="LND-0442"/>
    <x v="6"/>
    <s v="Karnataka"/>
    <x v="10"/>
    <s v="Sindhanur"/>
    <s v="Gangavathi"/>
    <s v="575/9"/>
    <s v="Revanasiddappa Hegde"/>
    <n v="0.82"/>
    <x v="1"/>
    <s v="Disputed"/>
    <x v="0"/>
    <x v="2"/>
    <m/>
  </r>
  <r>
    <s v="LND-0481"/>
    <x v="1"/>
    <s v="Karnataka"/>
    <x v="10"/>
    <s v="Manvi"/>
    <s v="Kavital"/>
    <d v="2026-05-05T00:00:00"/>
    <s v="Shivanand Gudadinni"/>
    <n v="4.42"/>
    <x v="3"/>
    <s v="Cleared"/>
    <x v="0"/>
    <x v="1"/>
    <m/>
  </r>
  <r>
    <s v="LND-0217"/>
    <x v="14"/>
    <s v="Maharashtra"/>
    <x v="2"/>
    <s v="Barshi"/>
    <s v="Natepute"/>
    <s v="839/7"/>
    <s v="Subhash Sutar"/>
    <n v="1.1299999999999999"/>
    <x v="3"/>
    <s v="In Progress"/>
    <x v="0"/>
    <x v="2"/>
    <m/>
  </r>
  <r>
    <s v="LND-0104"/>
    <x v="10"/>
    <s v="Maharashtra"/>
    <x v="2"/>
    <s v="Akkalkot"/>
    <s v="Akkalkot"/>
    <s v="Gut No. 687/2"/>
    <s v="Mahadev Waghmare"/>
    <n v="4.43"/>
    <x v="1"/>
    <s v="Cleared"/>
    <x v="1"/>
    <x v="3"/>
    <d v="2023-12-22T00:00:00"/>
  </r>
  <r>
    <s v="LND-0261"/>
    <x v="10"/>
    <s v="Maharashtra"/>
    <x v="8"/>
    <s v="Haveli"/>
    <s v="Wagholi"/>
    <s v="Gut No. 107/4"/>
    <s v="Anil Gaikwad"/>
    <n v="2.39"/>
    <x v="2"/>
    <s v="Pending"/>
    <x v="0"/>
    <x v="0"/>
    <m/>
  </r>
  <r>
    <s v="LND-0123"/>
    <x v="8"/>
    <s v="Maharashtra"/>
    <x v="9"/>
    <s v="Hadgaon"/>
    <s v="Mahur"/>
    <s v="687/9"/>
    <s v="Dnyandev Wagh"/>
    <n v="3.52"/>
    <x v="3"/>
    <s v="In Progress"/>
    <x v="0"/>
    <x v="2"/>
    <m/>
  </r>
  <r>
    <s v="LND-0475"/>
    <x v="9"/>
    <s v="Karnataka"/>
    <x v="7"/>
    <s v="Yadgir"/>
    <s v="Gurumitkal"/>
    <s v="Gut No. 939/8"/>
    <s v="Shivanand Honnalli"/>
    <n v="1.1100000000000001"/>
    <x v="0"/>
    <s v="In Progress"/>
    <x v="0"/>
    <x v="1"/>
    <m/>
  </r>
  <r>
    <s v="LND-0198"/>
    <x v="10"/>
    <s v="Maharashtra"/>
    <x v="2"/>
    <s v="Mohol"/>
    <s v="Velapur"/>
    <s v="Gut No. 189/9"/>
    <s v="Ashok Shinde"/>
    <n v="2.86"/>
    <x v="2"/>
    <s v="Pending"/>
    <x v="0"/>
    <x v="0"/>
    <m/>
  </r>
  <r>
    <s v="LND-0471"/>
    <x v="4"/>
    <s v="Karnataka"/>
    <x v="10"/>
    <s v="Manvi"/>
    <s v="Kavital"/>
    <s v="Gut No. 438/6"/>
    <s v="Eranna Hiremath"/>
    <n v="3.09"/>
    <x v="3"/>
    <s v="In Progress"/>
    <x v="0"/>
    <x v="2"/>
    <m/>
  </r>
  <r>
    <s v="LND-0283"/>
    <x v="7"/>
    <s v="Karnataka"/>
    <x v="10"/>
    <s v="Sindhanur"/>
    <s v="Kushtagi"/>
    <s v="906/7"/>
    <s v="Devendrappa Lamani"/>
    <n v="2.08"/>
    <x v="1"/>
    <s v="Cleared"/>
    <x v="1"/>
    <x v="2"/>
    <m/>
  </r>
  <r>
    <s v="LND-0474"/>
    <x v="0"/>
    <s v="Karnataka"/>
    <x v="5"/>
    <s v="Muddebihal"/>
    <s v="Horti"/>
    <s v="Gut No. 786/1"/>
    <s v="Veeranna Hugar"/>
    <n v="2.04"/>
    <x v="2"/>
    <s v="Pending"/>
    <x v="0"/>
    <x v="0"/>
    <m/>
  </r>
  <r>
    <s v="LND-0349"/>
    <x v="4"/>
    <s v="Karnataka"/>
    <x v="5"/>
    <s v="Vijayapura"/>
    <s v="Basavana Bagewadi"/>
    <s v="Gut No. 340/6"/>
    <s v="Fakeerappa Nayak"/>
    <n v="4.78"/>
    <x v="1"/>
    <s v="Cleared"/>
    <x v="0"/>
    <x v="3"/>
    <m/>
  </r>
  <r>
    <s v="LND-0101"/>
    <x v="8"/>
    <s v="Maharashtra"/>
    <x v="9"/>
    <s v="Hadgaon"/>
    <s v="Bhokar"/>
    <s v="Gut No. 465/9"/>
    <s v="Balasaheb Thorat"/>
    <n v="0.95"/>
    <x v="2"/>
    <s v="Pending"/>
    <x v="0"/>
    <x v="0"/>
    <m/>
  </r>
  <r>
    <s v="LND-0232"/>
    <x v="2"/>
    <s v="Maharashtra"/>
    <x v="9"/>
    <s v="Biloli"/>
    <s v="Kandhar"/>
    <s v="Gut No. 556/1"/>
    <s v="Kisan Londhe"/>
    <n v="2.4900000000000002"/>
    <x v="0"/>
    <s v="In Progress"/>
    <x v="0"/>
    <x v="0"/>
    <m/>
  </r>
  <r>
    <s v="LND-0085"/>
    <x v="8"/>
    <s v="Maharashtra"/>
    <x v="9"/>
    <s v="Biloli"/>
    <s v="Biloli"/>
    <s v="Gut No. 968/6"/>
    <s v="Pramod Pawar"/>
    <n v="3.38"/>
    <x v="1"/>
    <s v="Disputed"/>
    <x v="1"/>
    <x v="3"/>
    <d v="2023-02-12T00:00:00"/>
  </r>
  <r>
    <s v="LND-0404"/>
    <x v="13"/>
    <s v="Karnataka"/>
    <x v="0"/>
    <s v="Ron"/>
    <s v="Ron"/>
    <s v="166/6"/>
    <s v="Revanasiddappa Hugar"/>
    <n v="1.93"/>
    <x v="3"/>
    <s v="Disputed"/>
    <x v="0"/>
    <x v="2"/>
    <m/>
  </r>
  <r>
    <s v="LND-0245"/>
    <x v="15"/>
    <s v="Maharashtra"/>
    <x v="6"/>
    <s v="Ausa"/>
    <s v="Nilanga"/>
    <s v="942/7"/>
    <s v="Balasaheb Kadam"/>
    <n v="2.4900000000000002"/>
    <x v="0"/>
    <s v="Pending"/>
    <x v="0"/>
    <x v="0"/>
    <m/>
  </r>
  <r>
    <s v="LND-0069"/>
    <x v="5"/>
    <s v="Maharashtra"/>
    <x v="3"/>
    <s v="Lohara"/>
    <s v="Omerga"/>
    <s v="94/4"/>
    <s v="Subhash Sawant"/>
    <n v="3.14"/>
    <x v="2"/>
    <s v="Pending"/>
    <x v="0"/>
    <x v="0"/>
    <m/>
  </r>
  <r>
    <s v="LND-0467"/>
    <x v="7"/>
    <s v="Karnataka"/>
    <x v="7"/>
    <s v="Sedam"/>
    <s v="Devara Hippargi"/>
    <s v="51/3"/>
    <s v="Hanumantha Reddy"/>
    <n v="3.44"/>
    <x v="2"/>
    <s v="Pending"/>
    <x v="0"/>
    <x v="0"/>
    <m/>
  </r>
  <r>
    <s v="LND-0276"/>
    <x v="11"/>
    <s v="Karnataka"/>
    <x v="4"/>
    <s v="Kushtagi"/>
    <s v="Guttal"/>
    <s v="857/8"/>
    <s v="Suresh Rao"/>
    <n v="1.29"/>
    <x v="2"/>
    <s v="Pending"/>
    <x v="0"/>
    <x v="0"/>
    <m/>
  </r>
  <r>
    <s v="LND-0010"/>
    <x v="8"/>
    <s v="Maharashtra"/>
    <x v="9"/>
    <s v="Biloli"/>
    <s v="Naigaon"/>
    <s v="699/9"/>
    <s v="Kisan Mane"/>
    <n v="3.96"/>
    <x v="3"/>
    <s v="In Progress"/>
    <x v="0"/>
    <x v="2"/>
    <m/>
  </r>
  <r>
    <s v="LND-0482"/>
    <x v="4"/>
    <s v="Karnataka"/>
    <x v="4"/>
    <s v="Kushtagi"/>
    <s v="Bettadur"/>
    <s v="592/5"/>
    <s v="Prakash Nayak"/>
    <n v="1.94"/>
    <x v="0"/>
    <s v="In Progress"/>
    <x v="0"/>
    <x v="1"/>
    <m/>
  </r>
  <r>
    <s v="LND-0001"/>
    <x v="2"/>
    <s v="Maharashtra"/>
    <x v="8"/>
    <s v="Haveli"/>
    <s v="Lonikand"/>
    <s v="229/3"/>
    <s v="Shriram Deshmukh"/>
    <n v="3.55"/>
    <x v="2"/>
    <s v="Pending"/>
    <x v="0"/>
    <x v="0"/>
    <m/>
  </r>
  <r>
    <s v="LND-0164"/>
    <x v="14"/>
    <s v="Maharashtra"/>
    <x v="3"/>
    <s v="Lohara"/>
    <s v="Bhoom"/>
    <s v="739/1"/>
    <s v="Pramod Sutar"/>
    <n v="1.27"/>
    <x v="1"/>
    <s v="Cleared"/>
    <x v="0"/>
    <x v="2"/>
    <m/>
  </r>
  <r>
    <s v="LND-0168"/>
    <x v="8"/>
    <s v="Maharashtra"/>
    <x v="8"/>
    <s v="Haveli"/>
    <s v="Manjari"/>
    <s v="Gut No. 918/7"/>
    <s v="Sopan Waghmare"/>
    <n v="4.8"/>
    <x v="0"/>
    <s v="In Progress"/>
    <x v="0"/>
    <x v="0"/>
    <m/>
  </r>
  <r>
    <s v="LND-0288"/>
    <x v="1"/>
    <s v="Karnataka"/>
    <x v="1"/>
    <s v="Basavakalyan"/>
    <s v="Udgir"/>
    <s v="Gut No. 501/5"/>
    <s v="Mallappa Honnalli"/>
    <n v="2.95"/>
    <x v="0"/>
    <s v="In Progress"/>
    <x v="0"/>
    <x v="1"/>
    <m/>
  </r>
  <r>
    <s v="LND-0128"/>
    <x v="8"/>
    <s v="Maharashtra"/>
    <x v="8"/>
    <s v="Haveli"/>
    <s v="Wagholi"/>
    <s v="Gut No. 568/2"/>
    <s v="Laxman Naik"/>
    <n v="4.33"/>
    <x v="3"/>
    <s v="In Progress"/>
    <x v="0"/>
    <x v="1"/>
    <m/>
  </r>
  <r>
    <s v="LND-0348"/>
    <x v="4"/>
    <s v="Karnataka"/>
    <x v="0"/>
    <s v="Ron"/>
    <s v="Parasgad"/>
    <s v="980/3"/>
    <s v="Ashok Naik"/>
    <n v="4.04"/>
    <x v="0"/>
    <s v="In Progress"/>
    <x v="0"/>
    <x v="1"/>
    <m/>
  </r>
  <r>
    <s v="LND-0318"/>
    <x v="7"/>
    <s v="Karnataka"/>
    <x v="0"/>
    <s v="Gadag"/>
    <s v="Ron"/>
    <s v="Gut No. 390/2"/>
    <s v="Suresh Swamy"/>
    <n v="2.63"/>
    <x v="0"/>
    <s v="Pending"/>
    <x v="0"/>
    <x v="0"/>
    <m/>
  </r>
  <r>
    <s v="LND-0115"/>
    <x v="2"/>
    <s v="Maharashtra"/>
    <x v="6"/>
    <s v="Ausa"/>
    <s v="Ahmedpur"/>
    <s v="342/3"/>
    <s v="Dnyandev Naik"/>
    <n v="3.35"/>
    <x v="0"/>
    <s v="In Progress"/>
    <x v="0"/>
    <x v="1"/>
    <m/>
  </r>
  <r>
    <s v="LND-0466"/>
    <x v="0"/>
    <s v="Karnataka"/>
    <x v="1"/>
    <s v="Basavakalyan"/>
    <s v="Udgir"/>
    <s v="Gut No. 557/1"/>
    <s v="Anil Biradar"/>
    <n v="1.57"/>
    <x v="1"/>
    <s v="Disputed"/>
    <x v="1"/>
    <x v="3"/>
    <d v="2022-06-12T00:00:00"/>
  </r>
  <r>
    <s v="LND-0418"/>
    <x v="7"/>
    <s v="Karnataka"/>
    <x v="1"/>
    <s v="Humnabad"/>
    <s v="Kamalanagar"/>
    <s v="Gut No. 790/8"/>
    <s v="Revanasiddappa Reddy"/>
    <n v="1.4"/>
    <x v="2"/>
    <s v="Pending"/>
    <x v="0"/>
    <x v="0"/>
    <m/>
  </r>
  <r>
    <s v="LND-0187"/>
    <x v="12"/>
    <s v="Maharashtra"/>
    <x v="8"/>
    <s v="Baramati"/>
    <s v="Varkute Malharvadi"/>
    <s v="247/4"/>
    <s v="Dnyandev Deshmukh"/>
    <n v="3.17"/>
    <x v="1"/>
    <s v="Cleared"/>
    <x v="0"/>
    <x v="2"/>
    <m/>
  </r>
  <r>
    <s v="LND-0421"/>
    <x v="13"/>
    <s v="Karnataka"/>
    <x v="7"/>
    <s v="Kalaburagi"/>
    <s v="Kalaburagi"/>
    <s v="Gut No. 705/3"/>
    <s v="Lingappa Naik"/>
    <n v="1.62"/>
    <x v="1"/>
    <s v="Cleared"/>
    <x v="1"/>
    <x v="2"/>
    <m/>
  </r>
  <r>
    <s v="LND-0255"/>
    <x v="14"/>
    <s v="Maharashtra"/>
    <x v="6"/>
    <s v="Chakur"/>
    <s v="Yednapur"/>
    <s v="512/3"/>
    <s v="Narayan More"/>
    <n v="1.65"/>
    <x v="2"/>
    <s v="Pending"/>
    <x v="0"/>
    <x v="0"/>
    <m/>
  </r>
  <r>
    <s v="LND-0443"/>
    <x v="13"/>
    <s v="Karnataka"/>
    <x v="10"/>
    <s v="Sindhanur"/>
    <s v="Mudgal"/>
    <s v="329/6"/>
    <s v="Anil Honnalli"/>
    <n v="0.61"/>
    <x v="3"/>
    <s v="In Progress"/>
    <x v="0"/>
    <x v="2"/>
    <m/>
  </r>
  <r>
    <s v="LND-0485"/>
    <x v="11"/>
    <s v="Karnataka"/>
    <x v="4"/>
    <s v="Gangavathi"/>
    <s v="Gangavathi"/>
    <s v="30/8"/>
    <s v="Santosh Reddy"/>
    <n v="0.98"/>
    <x v="2"/>
    <s v="Pending"/>
    <x v="0"/>
    <x v="0"/>
    <m/>
  </r>
  <r>
    <s v="LND-0053"/>
    <x v="12"/>
    <s v="Maharashtra"/>
    <x v="8"/>
    <s v="Haveli"/>
    <s v="Lonikand"/>
    <s v="816/1"/>
    <s v="Narayan Chavan"/>
    <n v="2.4300000000000002"/>
    <x v="3"/>
    <s v="In Progress"/>
    <x v="0"/>
    <x v="2"/>
    <m/>
  </r>
  <r>
    <s v="LND-0459"/>
    <x v="13"/>
    <s v="Karnataka"/>
    <x v="0"/>
    <s v="Ron"/>
    <s v="Gajendragad"/>
    <s v="534/2"/>
    <s v="Channappa Hosamani"/>
    <n v="4.22"/>
    <x v="2"/>
    <s v="Pending"/>
    <x v="0"/>
    <x v="0"/>
    <m/>
  </r>
  <r>
    <s v="LND-0227"/>
    <x v="10"/>
    <s v="Maharashtra"/>
    <x v="3"/>
    <s v="Tuljapur"/>
    <s v="Umarga"/>
    <s v="834/5"/>
    <s v="Balasaheb Sawant"/>
    <n v="0.88"/>
    <x v="0"/>
    <s v="In Progress"/>
    <x v="0"/>
    <x v="0"/>
    <m/>
  </r>
  <r>
    <s v="LND-0055"/>
    <x v="5"/>
    <s v="Maharashtra"/>
    <x v="9"/>
    <s v="Hadgaon"/>
    <s v="Mahur"/>
    <s v="851/2"/>
    <s v="Santosh Dhole"/>
    <n v="1.6"/>
    <x v="1"/>
    <s v="Disputed"/>
    <x v="1"/>
    <x v="2"/>
    <m/>
  </r>
  <r>
    <s v="LND-0301"/>
    <x v="11"/>
    <s v="Karnataka"/>
    <x v="5"/>
    <s v="Vijayapura"/>
    <s v="Sindgi"/>
    <s v="292/1"/>
    <s v="Mahantappa Reddy"/>
    <n v="1.23"/>
    <x v="0"/>
    <s v="Pending"/>
    <x v="0"/>
    <x v="0"/>
    <m/>
  </r>
  <r>
    <s v="LND-0221"/>
    <x v="14"/>
    <s v="Maharashtra"/>
    <x v="8"/>
    <s v="Indapur"/>
    <s v="Bhandgaon"/>
    <s v="119/3"/>
    <s v="Narayan Pawar"/>
    <n v="2.04"/>
    <x v="0"/>
    <s v="In Progress"/>
    <x v="0"/>
    <x v="1"/>
    <m/>
  </r>
  <r>
    <s v="LND-0074"/>
    <x v="8"/>
    <s v="Maharashtra"/>
    <x v="6"/>
    <s v="Chakur"/>
    <s v="Kinhala"/>
    <s v="30/4"/>
    <s v="Laxman More"/>
    <n v="1.9"/>
    <x v="2"/>
    <s v="Pending"/>
    <x v="0"/>
    <x v="0"/>
    <m/>
  </r>
  <r>
    <s v="LND-0056"/>
    <x v="14"/>
    <s v="Maharashtra"/>
    <x v="3"/>
    <s v="Osmanabad"/>
    <s v="Rui"/>
    <s v="364/5"/>
    <s v="Bhagwan Mane"/>
    <n v="4.46"/>
    <x v="3"/>
    <s v="Disputed"/>
    <x v="0"/>
    <x v="1"/>
    <m/>
  </r>
  <r>
    <s v="LND-0458"/>
    <x v="9"/>
    <s v="Karnataka"/>
    <x v="10"/>
    <s v="Manvi"/>
    <s v="Hatti"/>
    <s v="Gut No. 888/8"/>
    <s v="Revanasiddappa Kamble"/>
    <n v="2.3199999999999998"/>
    <x v="2"/>
    <s v="Pending"/>
    <x v="0"/>
    <x v="0"/>
    <m/>
  </r>
  <r>
    <s v="LND-0345"/>
    <x v="6"/>
    <s v="Karnataka"/>
    <x v="0"/>
    <s v="Ron"/>
    <s v="Parasgad"/>
    <s v="795/4"/>
    <s v="Fakeerappa Hosamani"/>
    <n v="1.3"/>
    <x v="2"/>
    <s v="Pending"/>
    <x v="0"/>
    <x v="0"/>
    <m/>
  </r>
  <r>
    <s v="LND-0202"/>
    <x v="12"/>
    <s v="Maharashtra"/>
    <x v="2"/>
    <s v="Barshi"/>
    <s v="Barshi"/>
    <s v="96/7"/>
    <s v="Dattatray Bhosale"/>
    <n v="2.99"/>
    <x v="2"/>
    <s v="Pending"/>
    <x v="0"/>
    <x v="0"/>
    <m/>
  </r>
  <r>
    <s v="LND-0103"/>
    <x v="8"/>
    <s v="Maharashtra"/>
    <x v="3"/>
    <s v="Osmanabad"/>
    <s v="Naldurg"/>
    <s v="Gut No. 69/2"/>
    <s v="Sopan Jadhav"/>
    <n v="0.92"/>
    <x v="2"/>
    <s v="Pending"/>
    <x v="0"/>
    <x v="0"/>
    <m/>
  </r>
  <r>
    <s v="LND-0252"/>
    <x v="8"/>
    <s v="Maharashtra"/>
    <x v="6"/>
    <s v="Chakur"/>
    <s v="Halge"/>
    <s v="251/2"/>
    <s v="Mahadev Deshmukh"/>
    <n v="2.54"/>
    <x v="2"/>
    <s v="Pending"/>
    <x v="0"/>
    <x v="0"/>
    <m/>
  </r>
  <r>
    <s v="LND-0036"/>
    <x v="5"/>
    <s v="Maharashtra"/>
    <x v="9"/>
    <s v="Biloli"/>
    <s v="Kandhar"/>
    <s v="726/7"/>
    <s v="Ramesh Naik"/>
    <n v="4.67"/>
    <x v="0"/>
    <s v="In Progress"/>
    <x v="0"/>
    <x v="1"/>
    <m/>
  </r>
  <r>
    <s v="LND-0424"/>
    <x v="11"/>
    <s v="Karnataka"/>
    <x v="0"/>
    <s v="Ron"/>
    <s v="Kanaginahal"/>
    <s v="71/9"/>
    <s v="Hanumantha Hosamani"/>
    <n v="1.83"/>
    <x v="3"/>
    <s v="Disputed"/>
    <x v="0"/>
    <x v="2"/>
    <m/>
  </r>
  <r>
    <s v="LND-0092"/>
    <x v="14"/>
    <s v="Maharashtra"/>
    <x v="8"/>
    <s v="Haveli"/>
    <s v="Manjari"/>
    <s v="Gut No. 938/4"/>
    <s v="Ashok Jadhav"/>
    <n v="3.36"/>
    <x v="1"/>
    <s v="Disputed"/>
    <x v="1"/>
    <x v="2"/>
    <m/>
  </r>
  <r>
    <s v="LND-0369"/>
    <x v="7"/>
    <s v="Karnataka"/>
    <x v="0"/>
    <s v="Ron"/>
    <s v="Ron"/>
    <s v="Gut No. 855/5"/>
    <s v="Rajesh Bennur"/>
    <n v="3.07"/>
    <x v="1"/>
    <s v="Disputed"/>
    <x v="1"/>
    <x v="2"/>
    <m/>
  </r>
  <r>
    <s v="LND-0133"/>
    <x v="3"/>
    <s v="Maharashtra"/>
    <x v="2"/>
    <s v="Barshi"/>
    <s v="Bhalwani"/>
    <s v="Gut No. 65/2"/>
    <s v="Sopan Sutar"/>
    <n v="3.19"/>
    <x v="2"/>
    <s v="Pending"/>
    <x v="0"/>
    <x v="0"/>
    <m/>
  </r>
  <r>
    <s v="LND-0031"/>
    <x v="10"/>
    <s v="Maharashtra"/>
    <x v="9"/>
    <s v="Hadgaon"/>
    <s v="Umri"/>
    <s v="948/4"/>
    <s v="Raju More"/>
    <n v="4.8899999999999997"/>
    <x v="0"/>
    <s v="In Progress"/>
    <x v="0"/>
    <x v="0"/>
    <m/>
  </r>
  <r>
    <s v="LND-0171"/>
    <x v="5"/>
    <s v="Maharashtra"/>
    <x v="3"/>
    <s v="Lohara"/>
    <s v="Washi"/>
    <s v="698/3"/>
    <s v="Ramesh Chavan"/>
    <n v="4.9000000000000004"/>
    <x v="0"/>
    <s v="In Progress"/>
    <x v="0"/>
    <x v="1"/>
    <m/>
  </r>
  <r>
    <s v="LND-0199"/>
    <x v="3"/>
    <s v="Maharashtra"/>
    <x v="8"/>
    <s v="Indapur"/>
    <s v="Nimgaon Ketki"/>
    <s v="70/3"/>
    <s v="Ramesh Kale"/>
    <n v="2.78"/>
    <x v="3"/>
    <s v="In Progress"/>
    <x v="0"/>
    <x v="2"/>
    <m/>
  </r>
  <r>
    <s v="LND-0347"/>
    <x v="7"/>
    <s v="Karnataka"/>
    <x v="5"/>
    <s v="Sindgi"/>
    <s v="Nidagundi"/>
    <s v="158/6"/>
    <s v="Anil Reddy"/>
    <n v="3.98"/>
    <x v="3"/>
    <s v="Cleared"/>
    <x v="0"/>
    <x v="2"/>
    <m/>
  </r>
  <r>
    <s v="LND-0434"/>
    <x v="1"/>
    <s v="Karnataka"/>
    <x v="10"/>
    <s v="Raichur"/>
    <s v="Raichur"/>
    <s v="Gut No. 611/1"/>
    <s v="Ashok Kulkarni"/>
    <n v="4.97"/>
    <x v="3"/>
    <s v="In Progress"/>
    <x v="0"/>
    <x v="2"/>
    <m/>
  </r>
  <r>
    <s v="LND-0286"/>
    <x v="11"/>
    <s v="Karnataka"/>
    <x v="7"/>
    <s v="Kalaburagi"/>
    <s v="Jevargi"/>
    <s v="Gut No. 677/5"/>
    <s v="Fakeerappa Hegde"/>
    <n v="0.93"/>
    <x v="1"/>
    <s v="Disputed"/>
    <x v="0"/>
    <x v="2"/>
    <m/>
  </r>
  <r>
    <s v="LND-0038"/>
    <x v="15"/>
    <s v="Maharashtra"/>
    <x v="2"/>
    <s v="Barshi"/>
    <s v="Kanheri Sarap"/>
    <s v="631/5"/>
    <s v="Dattatray Chavan"/>
    <n v="4.25"/>
    <x v="3"/>
    <s v="Cleared"/>
    <x v="0"/>
    <x v="1"/>
    <m/>
  </r>
  <r>
    <s v="LND-0083"/>
    <x v="3"/>
    <s v="Maharashtra"/>
    <x v="3"/>
    <s v="Osmanabad"/>
    <s v="Yedshi"/>
    <s v="Gut No. 384/7"/>
    <s v="Shankar Gaikwad"/>
    <n v="2.89"/>
    <x v="0"/>
    <s v="Pending"/>
    <x v="0"/>
    <x v="0"/>
    <m/>
  </r>
  <r>
    <s v="LND-0408"/>
    <x v="7"/>
    <s v="Karnataka"/>
    <x v="1"/>
    <s v="Humnabad"/>
    <s v="Nilanga"/>
    <s v="Gut No. 885/8"/>
    <s v="Channappa Bennur"/>
    <n v="4.71"/>
    <x v="1"/>
    <s v="Cleared"/>
    <x v="0"/>
    <x v="3"/>
    <m/>
  </r>
  <r>
    <s v="LND-0166"/>
    <x v="10"/>
    <s v="Maharashtra"/>
    <x v="6"/>
    <s v="Chakur"/>
    <s v="Kinhala"/>
    <s v="Gut No. 980/3"/>
    <s v="Arjun Chavan"/>
    <n v="2.04"/>
    <x v="3"/>
    <s v="Disputed"/>
    <x v="0"/>
    <x v="2"/>
    <m/>
  </r>
  <r>
    <s v="LND-0219"/>
    <x v="2"/>
    <s v="Maharashtra"/>
    <x v="2"/>
    <s v="Akkalkot"/>
    <s v="Mulegaon"/>
    <s v="663/1"/>
    <s v="Pramod Wagh"/>
    <n v="3.55"/>
    <x v="1"/>
    <s v="Disputed"/>
    <x v="1"/>
    <x v="2"/>
    <m/>
  </r>
  <r>
    <s v="LND-0142"/>
    <x v="5"/>
    <s v="Maharashtra"/>
    <x v="3"/>
    <s v="Lohara"/>
    <s v="Anatpal"/>
    <s v="147/8"/>
    <s v="Suresh Kulkarni"/>
    <n v="0.8"/>
    <x v="3"/>
    <s v="Cleared"/>
    <x v="0"/>
    <x v="2"/>
    <m/>
  </r>
  <r>
    <s v="LND-0455"/>
    <x v="9"/>
    <s v="Karnataka"/>
    <x v="7"/>
    <s v="Kalaburagi"/>
    <s v="Sedam"/>
    <s v="27/5"/>
    <s v="Anil Doddamani"/>
    <n v="3.26"/>
    <x v="0"/>
    <s v="Pending"/>
    <x v="0"/>
    <x v="0"/>
    <m/>
  </r>
  <r>
    <s v="LND-0039"/>
    <x v="5"/>
    <s v="Maharashtra"/>
    <x v="9"/>
    <s v="Hadgaon"/>
    <s v="Bhokar"/>
    <s v="Gut No. 453/4"/>
    <s v="Anil Sutar"/>
    <n v="4.07"/>
    <x v="0"/>
    <s v="Pending"/>
    <x v="0"/>
    <x v="1"/>
    <m/>
  </r>
  <r>
    <s v="LND-0240"/>
    <x v="3"/>
    <s v="Maharashtra"/>
    <x v="8"/>
    <s v="Baramati"/>
    <s v="Bhigwan"/>
    <s v="128/3"/>
    <s v="Arjun Dhole"/>
    <n v="0.5"/>
    <x v="1"/>
    <s v="Cleared"/>
    <x v="0"/>
    <x v="3"/>
    <m/>
  </r>
  <r>
    <s v="LND-0446"/>
    <x v="0"/>
    <s v="Karnataka"/>
    <x v="10"/>
    <s v="Sindhanur"/>
    <s v="Sindhanur"/>
    <s v="Gut No. 215/9"/>
    <s v="Nagappa Nayak"/>
    <n v="2.96"/>
    <x v="3"/>
    <s v="Disputed"/>
    <x v="0"/>
    <x v="2"/>
    <m/>
  </r>
  <r>
    <s v="LND-0413"/>
    <x v="13"/>
    <s v="Karnataka"/>
    <x v="0"/>
    <s v="Gadag"/>
    <s v="Shirhatti"/>
    <s v="Gut No. 292/9"/>
    <s v="Eranna Kamble"/>
    <n v="1.35"/>
    <x v="2"/>
    <s v="Pending"/>
    <x v="0"/>
    <x v="0"/>
    <m/>
  </r>
  <r>
    <s v="LND-0429"/>
    <x v="6"/>
    <s v="Karnataka"/>
    <x v="0"/>
    <s v="Ron"/>
    <s v="Ron"/>
    <s v="Gut No. 821/1"/>
    <s v="Lingappa Bennur"/>
    <n v="3.85"/>
    <x v="1"/>
    <s v="Disputed"/>
    <x v="0"/>
    <x v="3"/>
    <m/>
  </r>
  <r>
    <s v="LND-0057"/>
    <x v="12"/>
    <s v="Maharashtra"/>
    <x v="8"/>
    <s v="Baramati"/>
    <s v="Varkute Malharvadi"/>
    <s v="Gut No. 569/4"/>
    <s v="Laxman Sutar"/>
    <n v="3.41"/>
    <x v="1"/>
    <s v="Disputed"/>
    <x v="0"/>
    <x v="2"/>
    <m/>
  </r>
  <r>
    <s v="LND-0095"/>
    <x v="2"/>
    <s v="Maharashtra"/>
    <x v="3"/>
    <s v="Lohara"/>
    <s v="Omerga"/>
    <s v="408/5"/>
    <s v="Ganpat Deshmukh"/>
    <n v="4.7699999999999996"/>
    <x v="1"/>
    <s v="Cleared"/>
    <x v="0"/>
    <x v="2"/>
    <m/>
  </r>
  <r>
    <s v="LND-0290"/>
    <x v="9"/>
    <s v="Karnataka"/>
    <x v="0"/>
    <s v="Gadag"/>
    <s v="Gadag"/>
    <s v="Gut No. 828/9"/>
    <s v="Yankappa Doddamani"/>
    <n v="1.52"/>
    <x v="2"/>
    <s v="Pending"/>
    <x v="0"/>
    <x v="0"/>
    <m/>
  </r>
  <r>
    <s v="LND-0193"/>
    <x v="5"/>
    <s v="Maharashtra"/>
    <x v="9"/>
    <s v="Biloli"/>
    <s v="Biloli"/>
    <s v="824/9"/>
    <s v="Ganpat Sutar"/>
    <n v="1.44"/>
    <x v="3"/>
    <s v="Cleared"/>
    <x v="0"/>
    <x v="1"/>
    <m/>
  </r>
  <r>
    <s v="LND-0067"/>
    <x v="12"/>
    <s v="Maharashtra"/>
    <x v="2"/>
    <s v="Barshi"/>
    <s v="Shegaon"/>
    <s v="62/3"/>
    <s v="Tukaram Pawar"/>
    <n v="3.18"/>
    <x v="3"/>
    <s v="Cleared"/>
    <x v="0"/>
    <x v="1"/>
    <m/>
  </r>
  <r>
    <s v="LND-0045"/>
    <x v="5"/>
    <s v="Maharashtra"/>
    <x v="6"/>
    <s v="Ausa"/>
    <s v="Chakur"/>
    <s v="Gut No. 426/1"/>
    <s v="Ganpat Thorat"/>
    <n v="2.25"/>
    <x v="2"/>
    <s v="Pending"/>
    <x v="0"/>
    <x v="0"/>
    <m/>
  </r>
  <r>
    <s v="LND-0062"/>
    <x v="3"/>
    <s v="Maharashtra"/>
    <x v="3"/>
    <s v="Tuljapur"/>
    <s v="Tuljapur"/>
    <s v="411/8"/>
    <s v="Dnyandev Sawant"/>
    <n v="3.33"/>
    <x v="2"/>
    <s v="Pending"/>
    <x v="0"/>
    <x v="0"/>
    <m/>
  </r>
  <r>
    <s v="LND-0063"/>
    <x v="15"/>
    <s v="Maharashtra"/>
    <x v="2"/>
    <s v="Akkalkot"/>
    <s v="Mulegaon"/>
    <s v="255/2"/>
    <s v="Vilas Thorat"/>
    <n v="3.23"/>
    <x v="0"/>
    <s v="In Progress"/>
    <x v="0"/>
    <x v="1"/>
    <m/>
  </r>
  <r>
    <s v="LND-0112"/>
    <x v="5"/>
    <s v="Maharashtra"/>
    <x v="9"/>
    <s v="Biloli"/>
    <s v="Mukhed"/>
    <s v="Gut No. 74/7"/>
    <s v="Raju Londhe"/>
    <n v="0.69"/>
    <x v="2"/>
    <s v="Pending"/>
    <x v="0"/>
    <x v="0"/>
    <m/>
  </r>
  <r>
    <s v="LND-0030"/>
    <x v="5"/>
    <s v="Maharashtra"/>
    <x v="2"/>
    <s v="Mohol"/>
    <s v="Akluj"/>
    <s v="Gut No. 921/1"/>
    <s v="Narayan Kale"/>
    <n v="3.57"/>
    <x v="2"/>
    <s v="Pending"/>
    <x v="0"/>
    <x v="0"/>
    <m/>
  </r>
  <r>
    <s v="LND-0048"/>
    <x v="3"/>
    <s v="Maharashtra"/>
    <x v="8"/>
    <s v="Haveli"/>
    <s v="Wagholi"/>
    <s v="888/8"/>
    <s v="Pandhari Shinde"/>
    <n v="1.67"/>
    <x v="3"/>
    <s v="In Progress"/>
    <x v="0"/>
    <x v="2"/>
    <m/>
  </r>
  <r>
    <s v="LND-0013"/>
    <x v="2"/>
    <s v="Maharashtra"/>
    <x v="3"/>
    <s v="Tuljapur"/>
    <s v="Mhaswad"/>
    <s v="247/2"/>
    <s v="Dnyandev Londhe"/>
    <n v="2.69"/>
    <x v="2"/>
    <s v="Pending"/>
    <x v="0"/>
    <x v="0"/>
    <m/>
  </r>
  <r>
    <s v="LND-0018"/>
    <x v="2"/>
    <s v="Maharashtra"/>
    <x v="8"/>
    <s v="Indapur"/>
    <s v="Akluj"/>
    <s v="Gut No. 820/2"/>
    <s v="Rajendra Kale"/>
    <n v="1.36"/>
    <x v="1"/>
    <s v="Cleared"/>
    <x v="1"/>
    <x v="2"/>
    <m/>
  </r>
  <r>
    <s v="LND-0099"/>
    <x v="2"/>
    <s v="Maharashtra"/>
    <x v="6"/>
    <s v="Ausa"/>
    <s v="Ahmedpur"/>
    <s v="463/9"/>
    <s v="Rajendra Yadav"/>
    <n v="0.7"/>
    <x v="3"/>
    <s v="Cleared"/>
    <x v="0"/>
    <x v="1"/>
    <m/>
  </r>
  <r>
    <s v="LND-0129"/>
    <x v="8"/>
    <s v="Maharashtra"/>
    <x v="6"/>
    <s v="Chakur"/>
    <s v="Halge"/>
    <s v="Gut No. 94/4"/>
    <s v="Sopan Dhole"/>
    <n v="4.4800000000000004"/>
    <x v="2"/>
    <s v="Pending"/>
    <x v="0"/>
    <x v="0"/>
    <m/>
  </r>
  <r>
    <s v="LND-0146"/>
    <x v="15"/>
    <s v="Maharashtra"/>
    <x v="6"/>
    <s v="Latur"/>
    <s v="Renapur"/>
    <s v="Gut No. 684/6"/>
    <s v="Laxman Jadhav"/>
    <n v="2.97"/>
    <x v="3"/>
    <s v="Cleared"/>
    <x v="0"/>
    <x v="1"/>
    <m/>
  </r>
  <r>
    <s v="LND-0113"/>
    <x v="14"/>
    <s v="Maharashtra"/>
    <x v="8"/>
    <s v="Indapur"/>
    <s v="Lonand"/>
    <s v="Gut No. 588/7"/>
    <s v="Laxman Wagh"/>
    <n v="2.38"/>
    <x v="2"/>
    <s v="Pending"/>
    <x v="0"/>
    <x v="0"/>
    <m/>
  </r>
  <r>
    <s v="LND-0180"/>
    <x v="12"/>
    <s v="Maharashtra"/>
    <x v="2"/>
    <s v="Akkalkot"/>
    <s v="Wadwal Nagnath"/>
    <s v="539/8"/>
    <s v="Anil Murkute"/>
    <n v="2.13"/>
    <x v="2"/>
    <s v="Pending"/>
    <x v="0"/>
    <x v="0"/>
    <m/>
  </r>
  <r>
    <s v="LND-0398"/>
    <x v="1"/>
    <s v="Karnataka"/>
    <x v="10"/>
    <s v="Raichur"/>
    <s v="Devadurga"/>
    <s v="Gut No. 374/7"/>
    <s v="Eranna Hosamani"/>
    <n v="1.31"/>
    <x v="0"/>
    <s v="Pending"/>
    <x v="0"/>
    <x v="0"/>
    <m/>
  </r>
  <r>
    <s v="LND-0054"/>
    <x v="3"/>
    <s v="Maharashtra"/>
    <x v="6"/>
    <s v="Ausa"/>
    <s v="Ausa"/>
    <s v="Gut No. 984/6"/>
    <s v="Ashok Dhole"/>
    <n v="3.68"/>
    <x v="1"/>
    <s v="Cleared"/>
    <x v="1"/>
    <x v="3"/>
    <d v="2024-08-10T00:00:00"/>
  </r>
  <r>
    <s v="LND-0269"/>
    <x v="8"/>
    <s v="Maharashtra"/>
    <x v="8"/>
    <s v="Baramati"/>
    <s v="Pargaon"/>
    <s v="925/8"/>
    <s v="Tukaram Kulkarni"/>
    <n v="0.91"/>
    <x v="3"/>
    <s v="In Progress"/>
    <x v="0"/>
    <x v="1"/>
    <m/>
  </r>
  <r>
    <s v="LND-0332"/>
    <x v="4"/>
    <s v="Karnataka"/>
    <x v="10"/>
    <s v="Manvi"/>
    <s v="Manvi"/>
    <s v="414/7"/>
    <s v="Shivanand Bennur"/>
    <n v="2.97"/>
    <x v="2"/>
    <s v="Pending"/>
    <x v="0"/>
    <x v="0"/>
    <m/>
  </r>
  <r>
    <s v="LND-0211"/>
    <x v="8"/>
    <s v="Maharashtra"/>
    <x v="6"/>
    <s v="Ausa"/>
    <s v="Ausa"/>
    <s v="586/9"/>
    <s v="Pandhari Kadam"/>
    <n v="2.21"/>
    <x v="0"/>
    <s v="In Progress"/>
    <x v="0"/>
    <x v="1"/>
    <m/>
  </r>
  <r>
    <s v="LND-0357"/>
    <x v="1"/>
    <s v="Karnataka"/>
    <x v="7"/>
    <s v="Sedam"/>
    <s v="Malkhed"/>
    <s v="765/7"/>
    <s v="Suresh Rao"/>
    <n v="4.82"/>
    <x v="0"/>
    <s v="In Progress"/>
    <x v="0"/>
    <x v="1"/>
    <m/>
  </r>
  <r>
    <s v="LND-0035"/>
    <x v="3"/>
    <s v="Maharashtra"/>
    <x v="8"/>
    <s v="Haveli"/>
    <s v="Wagholi"/>
    <s v="Gut No. 747/6"/>
    <s v="Mahadev Yadav"/>
    <n v="4.93"/>
    <x v="2"/>
    <s v="Pending"/>
    <x v="0"/>
    <x v="0"/>
    <m/>
  </r>
  <r>
    <s v="LND-0005"/>
    <x v="2"/>
    <s v="Maharashtra"/>
    <x v="8"/>
    <s v="Haveli"/>
    <s v="Koregaon Bhima"/>
    <s v="Gut No. 82/4"/>
    <s v="Raju Deshmukh"/>
    <n v="2.21"/>
    <x v="1"/>
    <s v="Disputed"/>
    <x v="0"/>
    <x v="3"/>
    <m/>
  </r>
  <r>
    <s v="LND-0457"/>
    <x v="9"/>
    <s v="Karnataka"/>
    <x v="7"/>
    <s v="Kalaburagi"/>
    <s v="Kalaburagi"/>
    <s v="Gut No. 783/1"/>
    <s v="Eranna Kamble"/>
    <n v="1.5"/>
    <x v="0"/>
    <s v="Pending"/>
    <x v="0"/>
    <x v="0"/>
    <m/>
  </r>
  <r>
    <s v="LND-0281"/>
    <x v="6"/>
    <s v="Karnataka"/>
    <x v="0"/>
    <s v="Gadag"/>
    <s v="Ron"/>
    <s v="340/2"/>
    <s v="Revanasiddappa Angadi"/>
    <n v="4.92"/>
    <x v="0"/>
    <s v="Pending"/>
    <x v="0"/>
    <x v="1"/>
    <m/>
  </r>
  <r>
    <s v="LND-0161"/>
    <x v="15"/>
    <s v="Maharashtra"/>
    <x v="2"/>
    <s v="Akkalkot"/>
    <s v="Wadwal Nagnath"/>
    <s v="Gut No. 513/1"/>
    <s v="Suresh Shinde"/>
    <n v="1.1200000000000001"/>
    <x v="3"/>
    <s v="Cleared"/>
    <x v="0"/>
    <x v="2"/>
    <m/>
  </r>
  <r>
    <s v="LND-0391"/>
    <x v="1"/>
    <s v="Karnataka"/>
    <x v="1"/>
    <s v="Basavakalyan"/>
    <s v="Basavakalyan"/>
    <s v="Gut No. 649/4"/>
    <s v="Santosh Hegde"/>
    <n v="4.0999999999999996"/>
    <x v="1"/>
    <s v="Disputed"/>
    <x v="0"/>
    <x v="3"/>
    <m/>
  </r>
  <r>
    <s v="LND-0173"/>
    <x v="5"/>
    <s v="Maharashtra"/>
    <x v="2"/>
    <s v="Mohol"/>
    <s v="Karkamb"/>
    <s v="Gut No. 807/8"/>
    <s v="Pandhari Londhe"/>
    <n v="4.83"/>
    <x v="3"/>
    <s v="In Progress"/>
    <x v="0"/>
    <x v="1"/>
    <m/>
  </r>
  <r>
    <s v="LND-0267"/>
    <x v="8"/>
    <s v="Maharashtra"/>
    <x v="3"/>
    <s v="Osmanabad"/>
    <s v="Osmanabad"/>
    <s v="Gut No. 876/8"/>
    <s v="Vilas Londhe"/>
    <n v="2.98"/>
    <x v="2"/>
    <s v="Pending"/>
    <x v="0"/>
    <x v="0"/>
    <m/>
  </r>
  <r>
    <s v="LND-0100"/>
    <x v="3"/>
    <s v="Maharashtra"/>
    <x v="6"/>
    <s v="Ausa"/>
    <s v="Deoni"/>
    <s v="503/8"/>
    <s v="Dnyandev Jadhav"/>
    <n v="1.95"/>
    <x v="0"/>
    <s v="Pending"/>
    <x v="0"/>
    <x v="0"/>
    <m/>
  </r>
  <r>
    <s v="LND-0302"/>
    <x v="6"/>
    <s v="Karnataka"/>
    <x v="5"/>
    <s v="Muddebihal"/>
    <s v="Almel"/>
    <s v="886/1"/>
    <s v="Devendrappa Kulkarni"/>
    <n v="3.41"/>
    <x v="2"/>
    <s v="Pending"/>
    <x v="0"/>
    <x v="0"/>
    <m/>
  </r>
  <r>
    <s v="LND-0124"/>
    <x v="8"/>
    <s v="Maharashtra"/>
    <x v="2"/>
    <s v="Mohol"/>
    <s v="Akluj"/>
    <s v="Gut No. 197/4"/>
    <s v="Shankar Kulkarni"/>
    <n v="0.85"/>
    <x v="2"/>
    <s v="Pending"/>
    <x v="0"/>
    <x v="0"/>
    <m/>
  </r>
  <r>
    <s v="LND-0237"/>
    <x v="5"/>
    <s v="Maharashtra"/>
    <x v="6"/>
    <s v="Latur"/>
    <s v="Renapur"/>
    <s v="413/9"/>
    <s v="Shriram Mane"/>
    <n v="3.63"/>
    <x v="3"/>
    <s v="Cleared"/>
    <x v="0"/>
    <x v="2"/>
    <m/>
  </r>
  <r>
    <s v="LND-0201"/>
    <x v="15"/>
    <s v="Maharashtra"/>
    <x v="8"/>
    <s v="Baramati"/>
    <s v="Morgaon"/>
    <s v="197/9"/>
    <s v="Santosh Waghmare"/>
    <n v="1.7"/>
    <x v="1"/>
    <s v="Cleared"/>
    <x v="1"/>
    <x v="3"/>
    <d v="2024-07-29T00:00:00"/>
  </r>
  <r>
    <s v="LND-0300"/>
    <x v="0"/>
    <s v="Karnataka"/>
    <x v="5"/>
    <s v="Sindgi"/>
    <s v="Kolhar"/>
    <s v="Gut No. 651/2"/>
    <s v="Santosh Patil"/>
    <n v="1.59"/>
    <x v="1"/>
    <s v="Disputed"/>
    <x v="0"/>
    <x v="3"/>
    <m/>
  </r>
  <r>
    <s v="LND-0131"/>
    <x v="15"/>
    <s v="Maharashtra"/>
    <x v="2"/>
    <s v="Mohol"/>
    <s v="Akluj"/>
    <s v="Gut No. 713/3"/>
    <s v="Kisan Murkute"/>
    <n v="2.61"/>
    <x v="2"/>
    <s v="Pending"/>
    <x v="0"/>
    <x v="0"/>
    <m/>
  </r>
  <r>
    <s v="LND-0051"/>
    <x v="14"/>
    <s v="Maharashtra"/>
    <x v="8"/>
    <s v="Haveli"/>
    <s v="Koregaon Bhima"/>
    <s v="Gut No. 717/5"/>
    <s v="Kisan Waghmare"/>
    <n v="1.26"/>
    <x v="2"/>
    <s v="Pending"/>
    <x v="0"/>
    <x v="0"/>
    <m/>
  </r>
  <r>
    <s v="LND-0137"/>
    <x v="14"/>
    <s v="Maharashtra"/>
    <x v="6"/>
    <s v="Chakur"/>
    <s v="Halge"/>
    <s v="65/8"/>
    <s v="Suresh Pawar"/>
    <n v="1.41"/>
    <x v="0"/>
    <s v="Pending"/>
    <x v="0"/>
    <x v="1"/>
    <m/>
  </r>
  <r>
    <s v="LND-0139"/>
    <x v="8"/>
    <s v="Maharashtra"/>
    <x v="8"/>
    <s v="Indapur"/>
    <s v="Bhandgaon"/>
    <s v="Gut No. 762/8"/>
    <s v="Dattatray Salve"/>
    <n v="4.88"/>
    <x v="1"/>
    <s v="Disputed"/>
    <x v="1"/>
    <x v="3"/>
    <d v="2022-06-19T00:00:00"/>
  </r>
  <r>
    <s v="LND-0172"/>
    <x v="14"/>
    <s v="Maharashtra"/>
    <x v="2"/>
    <s v="Barshi"/>
    <s v="Natepute"/>
    <s v="Gut No. 662/1"/>
    <s v="Kisan Jadhav"/>
    <n v="3.44"/>
    <x v="0"/>
    <s v="Pending"/>
    <x v="0"/>
    <x v="0"/>
    <m/>
  </r>
  <r>
    <s v="LND-0140"/>
    <x v="5"/>
    <s v="Maharashtra"/>
    <x v="8"/>
    <s v="Indapur"/>
    <s v="Lonand"/>
    <s v="559/5"/>
    <s v="Bhagwan Deshmukh"/>
    <n v="0.86"/>
    <x v="3"/>
    <s v="Cleared"/>
    <x v="0"/>
    <x v="2"/>
    <m/>
  </r>
  <r>
    <s v="LND-0334"/>
    <x v="4"/>
    <s v="Karnataka"/>
    <x v="1"/>
    <s v="Humnabad"/>
    <s v="Kamalanagar"/>
    <s v="350/6"/>
    <s v="Prakash Rao"/>
    <n v="2.96"/>
    <x v="3"/>
    <s v="Disputed"/>
    <x v="0"/>
    <x v="1"/>
    <m/>
  </r>
  <r>
    <s v="LND-0477"/>
    <x v="9"/>
    <s v="Karnataka"/>
    <x v="5"/>
    <s v="Vijayapura"/>
    <s v="Sindgi"/>
    <s v="Gut No. 642/9"/>
    <s v="Siddappa Doddamani"/>
    <n v="3.23"/>
    <x v="0"/>
    <s v="Pending"/>
    <x v="0"/>
    <x v="1"/>
    <m/>
  </r>
  <r>
    <s v="LND-0222"/>
    <x v="14"/>
    <s v="Maharashtra"/>
    <x v="8"/>
    <s v="Indapur"/>
    <s v="Akluj"/>
    <s v="Gut No. 327/2"/>
    <s v="Popat Shinde"/>
    <n v="4.1500000000000004"/>
    <x v="2"/>
    <s v="Pending"/>
    <x v="0"/>
    <x v="0"/>
    <m/>
  </r>
  <r>
    <s v="LND-0182"/>
    <x v="14"/>
    <s v="Maharashtra"/>
    <x v="8"/>
    <s v="Indapur"/>
    <s v="Nimgaon Ketki"/>
    <s v="Gut No. 468/1"/>
    <s v="Vilas Dhole"/>
    <n v="3.53"/>
    <x v="3"/>
    <s v="Disputed"/>
    <x v="0"/>
    <x v="1"/>
    <m/>
  </r>
  <r>
    <s v="LND-0451"/>
    <x v="6"/>
    <s v="Karnataka"/>
    <x v="4"/>
    <s v="Gangavathi"/>
    <s v="Gangavathi"/>
    <s v="Gut No. 900/7"/>
    <s v="Basavaraj Bennur"/>
    <n v="4.7699999999999996"/>
    <x v="0"/>
    <s v="Pending"/>
    <x v="0"/>
    <x v="1"/>
    <m/>
  </r>
  <r>
    <s v="LND-0360"/>
    <x v="9"/>
    <s v="Karnataka"/>
    <x v="0"/>
    <s v="Gadag"/>
    <s v="Shirhatti"/>
    <s v="Gut No. 661/9"/>
    <s v="Mallappa Rao"/>
    <n v="3.52"/>
    <x v="3"/>
    <s v="In Progress"/>
    <x v="0"/>
    <x v="1"/>
    <m/>
  </r>
  <r>
    <s v="LND-0050"/>
    <x v="10"/>
    <s v="Maharashtra"/>
    <x v="2"/>
    <s v="Akkalkot"/>
    <s v="Akkalkot"/>
    <s v="773/1"/>
    <s v="Rajendra Kale"/>
    <n v="4.28"/>
    <x v="0"/>
    <s v="Pending"/>
    <x v="0"/>
    <x v="0"/>
    <m/>
  </r>
  <r>
    <s v="LND-0022"/>
    <x v="3"/>
    <s v="Maharashtra"/>
    <x v="9"/>
    <s v="Biloli"/>
    <s v="Naigaon"/>
    <s v="Gut No. 59/1"/>
    <s v="Pramod Sutar"/>
    <n v="2.76"/>
    <x v="0"/>
    <s v="Pending"/>
    <x v="0"/>
    <x v="0"/>
    <m/>
  </r>
  <r>
    <s v="LND-0352"/>
    <x v="6"/>
    <s v="Karnataka"/>
    <x v="5"/>
    <s v="Muddebihal"/>
    <s v="Muddebihal"/>
    <s v="172/9"/>
    <s v="Suresh Patil"/>
    <n v="3.32"/>
    <x v="0"/>
    <s v="Pending"/>
    <x v="0"/>
    <x v="1"/>
    <m/>
  </r>
  <r>
    <s v="LND-0162"/>
    <x v="15"/>
    <s v="Maharashtra"/>
    <x v="9"/>
    <s v="Biloli"/>
    <s v="Kandhar"/>
    <s v="Gut No. 167/7"/>
    <s v="Balasaheb Londhe"/>
    <n v="4.29"/>
    <x v="3"/>
    <s v="Disputed"/>
    <x v="0"/>
    <x v="2"/>
    <m/>
  </r>
  <r>
    <s v="LND-0196"/>
    <x v="10"/>
    <s v="Maharashtra"/>
    <x v="6"/>
    <s v="Latur"/>
    <s v="Jalkot"/>
    <s v="760/3"/>
    <s v="Ramesh Mane"/>
    <n v="2.99"/>
    <x v="1"/>
    <s v="Disputed"/>
    <x v="0"/>
    <x v="2"/>
    <m/>
  </r>
  <r>
    <s v="LND-0230"/>
    <x v="10"/>
    <s v="Maharashtra"/>
    <x v="8"/>
    <s v="Indapur"/>
    <s v="Nimgaon Ketki"/>
    <s v="835/7"/>
    <s v="Vilas Naik"/>
    <n v="3.44"/>
    <x v="1"/>
    <s v="Disputed"/>
    <x v="1"/>
    <x v="3"/>
    <d v="2024-09-27T00:00:00"/>
  </r>
  <r>
    <s v="LND-0148"/>
    <x v="2"/>
    <s v="Maharashtra"/>
    <x v="8"/>
    <s v="Indapur"/>
    <s v="Bhandgaon"/>
    <s v="Gut No. 539/7"/>
    <s v="Kisan Thorat"/>
    <n v="4.21"/>
    <x v="2"/>
    <s v="Pending"/>
    <x v="0"/>
    <x v="0"/>
    <m/>
  </r>
  <r>
    <s v="LND-0007"/>
    <x v="10"/>
    <s v="Maharashtra"/>
    <x v="8"/>
    <s v="Baramati"/>
    <s v="Malegaon"/>
    <s v="Gut No. 411/5"/>
    <s v="Dnyandev Kale"/>
    <n v="4.6100000000000003"/>
    <x v="3"/>
    <s v="In Progress"/>
    <x v="0"/>
    <x v="2"/>
    <m/>
  </r>
  <r>
    <s v="LND-0223"/>
    <x v="3"/>
    <s v="Maharashtra"/>
    <x v="3"/>
    <s v="Lohara"/>
    <s v="Lohara"/>
    <s v="953/4"/>
    <s v="Anil More"/>
    <n v="2.98"/>
    <x v="3"/>
    <s v="Disputed"/>
    <x v="0"/>
    <x v="2"/>
    <m/>
  </r>
  <r>
    <s v="LND-0272"/>
    <x v="13"/>
    <s v="Karnataka"/>
    <x v="7"/>
    <s v="Yadgir"/>
    <s v="Shorapur"/>
    <s v="646/9"/>
    <s v="Basavaraj Lamani"/>
    <n v="4.0199999999999996"/>
    <x v="3"/>
    <s v="Cleared"/>
    <x v="0"/>
    <x v="2"/>
    <m/>
  </r>
  <r>
    <s v="LND-0386"/>
    <x v="6"/>
    <s v="Karnataka"/>
    <x v="1"/>
    <s v="Humnabad"/>
    <s v="Gadlegaon"/>
    <s v="630/3"/>
    <s v="Santosh Reddy"/>
    <n v="2.12"/>
    <x v="2"/>
    <s v="Pending"/>
    <x v="0"/>
    <x v="0"/>
    <m/>
  </r>
  <r>
    <s v="LND-0135"/>
    <x v="10"/>
    <s v="Maharashtra"/>
    <x v="8"/>
    <s v="Haveli"/>
    <s v="Manjari"/>
    <s v="400/8"/>
    <s v="Suresh Wagh"/>
    <n v="2.2400000000000002"/>
    <x v="3"/>
    <s v="Cleared"/>
    <x v="0"/>
    <x v="1"/>
    <m/>
  </r>
  <r>
    <s v="LND-0432"/>
    <x v="13"/>
    <s v="Karnataka"/>
    <x v="1"/>
    <s v="Bidar"/>
    <s v="Humnabad"/>
    <s v="Gut No. 517/6"/>
    <s v="Santosh Desai"/>
    <n v="2.9"/>
    <x v="1"/>
    <s v="Disputed"/>
    <x v="1"/>
    <x v="3"/>
    <d v="2024-02-01T00:00:00"/>
  </r>
  <r>
    <s v="LND-0200"/>
    <x v="14"/>
    <s v="Maharashtra"/>
    <x v="8"/>
    <s v="Baramati"/>
    <s v="Varkute Malharvadi"/>
    <s v="18/9"/>
    <s v="Shriram Mane"/>
    <n v="2.91"/>
    <x v="3"/>
    <s v="In Progress"/>
    <x v="0"/>
    <x v="2"/>
    <m/>
  </r>
  <r>
    <s v="LND-0350"/>
    <x v="1"/>
    <s v="Karnataka"/>
    <x v="7"/>
    <s v="Sedam"/>
    <s v="Kamalapur"/>
    <s v="982/1"/>
    <s v="Santosh Hugar"/>
    <n v="2.2200000000000002"/>
    <x v="2"/>
    <s v="Pending"/>
    <x v="0"/>
    <x v="0"/>
    <m/>
  </r>
  <r>
    <s v="LND-0195"/>
    <x v="14"/>
    <s v="Maharashtra"/>
    <x v="9"/>
    <s v="Hadgaon"/>
    <s v="Mahur"/>
    <s v="Gut No. 369/9"/>
    <s v="Sanjay Dhole"/>
    <n v="0.94"/>
    <x v="1"/>
    <s v="Disputed"/>
    <x v="0"/>
    <x v="3"/>
    <m/>
  </r>
  <r>
    <s v="LND-0120"/>
    <x v="2"/>
    <s v="Maharashtra"/>
    <x v="3"/>
    <s v="Lohara"/>
    <s v="Lohara"/>
    <s v="41/4"/>
    <s v="Laxman Dhole"/>
    <n v="4.96"/>
    <x v="0"/>
    <s v="In Progress"/>
    <x v="0"/>
    <x v="1"/>
    <m/>
  </r>
  <r>
    <s v="LND-0273"/>
    <x v="11"/>
    <s v="Karnataka"/>
    <x v="4"/>
    <s v="Kushtagi"/>
    <s v="Bettadur"/>
    <s v="Gut No. 277/3"/>
    <s v="Basavaraj Hugar"/>
    <n v="3.19"/>
    <x v="2"/>
    <s v="Pending"/>
    <x v="0"/>
    <x v="0"/>
    <m/>
  </r>
  <r>
    <s v="LND-0363"/>
    <x v="13"/>
    <s v="Karnataka"/>
    <x v="5"/>
    <s v="Sindgi"/>
    <s v="Nidagundi"/>
    <s v="Gut No. 899/8"/>
    <s v="Channappa Hosamani"/>
    <n v="2.11"/>
    <x v="3"/>
    <s v="Cleared"/>
    <x v="0"/>
    <x v="1"/>
    <m/>
  </r>
  <r>
    <s v="LND-0155"/>
    <x v="5"/>
    <s v="Maharashtra"/>
    <x v="2"/>
    <s v="Barshi"/>
    <s v="Bhalwani"/>
    <s v="327/4"/>
    <s v="Arjun Deshmukh"/>
    <n v="1.7"/>
    <x v="0"/>
    <s v="Pending"/>
    <x v="0"/>
    <x v="0"/>
    <m/>
  </r>
  <r>
    <s v="LND-0244"/>
    <x v="2"/>
    <s v="Maharashtra"/>
    <x v="3"/>
    <s v="Tuljapur"/>
    <s v="Murud"/>
    <s v="392/3"/>
    <s v="Ashok Kadam"/>
    <n v="1.1399999999999999"/>
    <x v="2"/>
    <s v="Pending"/>
    <x v="0"/>
    <x v="0"/>
    <m/>
  </r>
  <r>
    <s v="LND-0205"/>
    <x v="15"/>
    <s v="Maharashtra"/>
    <x v="3"/>
    <s v="Osmanabad"/>
    <s v="Kalamb"/>
    <s v="771/7"/>
    <s v="Dnyandev Pawar"/>
    <n v="1.23"/>
    <x v="0"/>
    <s v="In Progress"/>
    <x v="0"/>
    <x v="1"/>
    <m/>
  </r>
  <r>
    <s v="LND-0238"/>
    <x v="10"/>
    <s v="Maharashtra"/>
    <x v="9"/>
    <s v="Biloli"/>
    <s v="Naigaon"/>
    <s v="749/8"/>
    <s v="Ashok Kadam"/>
    <n v="3.64"/>
    <x v="2"/>
    <s v="Pending"/>
    <x v="0"/>
    <x v="0"/>
    <m/>
  </r>
  <r>
    <s v="LND-0488"/>
    <x v="9"/>
    <s v="Karnataka"/>
    <x v="4"/>
    <s v="Gangavathi"/>
    <s v="Hospet"/>
    <s v="Gut No. 188/6"/>
    <s v="Gurusiddappa Hosamani"/>
    <n v="2.69"/>
    <x v="2"/>
    <s v="Pending"/>
    <x v="0"/>
    <x v="0"/>
    <m/>
  </r>
  <r>
    <s v="LND-0428"/>
    <x v="13"/>
    <s v="Karnataka"/>
    <x v="0"/>
    <s v="Ron"/>
    <s v="Parasgad"/>
    <s v="Gut No. 51/6"/>
    <s v="Revanasiddappa Gudadinni"/>
    <n v="3.73"/>
    <x v="2"/>
    <s v="Pending"/>
    <x v="0"/>
    <x v="0"/>
    <m/>
  </r>
  <r>
    <s v="LND-0060"/>
    <x v="14"/>
    <s v="Maharashtra"/>
    <x v="3"/>
    <s v="Lohara"/>
    <s v="Bhoom"/>
    <s v="Gut No. 103/4"/>
    <s v="Popat Gaikwad"/>
    <n v="2.12"/>
    <x v="3"/>
    <s v="In Progress"/>
    <x v="0"/>
    <x v="1"/>
    <m/>
  </r>
  <r>
    <s v="LND-0136"/>
    <x v="10"/>
    <s v="Maharashtra"/>
    <x v="8"/>
    <s v="Indapur"/>
    <s v="Nimgaon Ketki"/>
    <s v="791/6"/>
    <s v="Shankar Shinde"/>
    <n v="2.09"/>
    <x v="3"/>
    <s v="Disputed"/>
    <x v="0"/>
    <x v="1"/>
    <m/>
  </r>
  <r>
    <s v="LND-0329"/>
    <x v="13"/>
    <s v="Karnataka"/>
    <x v="0"/>
    <s v="Gadag"/>
    <s v="Ron"/>
    <s v="Gut No. 680/7"/>
    <s v="Hanumantha Bennur"/>
    <n v="4.51"/>
    <x v="2"/>
    <s v="Pending"/>
    <x v="0"/>
    <x v="0"/>
    <m/>
  </r>
  <r>
    <s v="LND-0461"/>
    <x v="13"/>
    <s v="Karnataka"/>
    <x v="5"/>
    <s v="Sindgi"/>
    <s v="Talikot"/>
    <s v="433/5"/>
    <s v="Anil Reddy"/>
    <n v="3.6"/>
    <x v="0"/>
    <s v="In Progress"/>
    <x v="0"/>
    <x v="1"/>
    <m/>
  </r>
  <r>
    <s v="LND-0177"/>
    <x v="12"/>
    <s v="Maharashtra"/>
    <x v="8"/>
    <s v="Indapur"/>
    <s v="Bhandgaon"/>
    <s v="458/5"/>
    <s v="Bhagwan Pawar"/>
    <n v="3.12"/>
    <x v="2"/>
    <s v="Pending"/>
    <x v="0"/>
    <x v="0"/>
    <m/>
  </r>
  <r>
    <s v="LND-0296"/>
    <x v="13"/>
    <s v="Karnataka"/>
    <x v="7"/>
    <s v="Sedam"/>
    <s v="Kamalapur"/>
    <s v="Gut No. 40/7"/>
    <s v="Gurusiddappa Hegde"/>
    <n v="0.72"/>
    <x v="1"/>
    <s v="Disputed"/>
    <x v="1"/>
    <x v="2"/>
    <m/>
  </r>
  <r>
    <s v="LND-0108"/>
    <x v="10"/>
    <s v="Maharashtra"/>
    <x v="3"/>
    <s v="Lohara"/>
    <s v="Omerga"/>
    <s v="905/1"/>
    <s v="Shankar More"/>
    <n v="3.89"/>
    <x v="2"/>
    <s v="Pending"/>
    <x v="0"/>
    <x v="0"/>
    <m/>
  </r>
  <r>
    <s v="LND-0444"/>
    <x v="1"/>
    <s v="Karnataka"/>
    <x v="4"/>
    <s v="Koppal"/>
    <s v="Yelburga"/>
    <s v="947/4"/>
    <s v="Nagappa Angadi"/>
    <n v="1.2"/>
    <x v="2"/>
    <s v="Pending"/>
    <x v="0"/>
    <x v="0"/>
    <m/>
  </r>
  <r>
    <s v="LND-0327"/>
    <x v="11"/>
    <s v="Karnataka"/>
    <x v="4"/>
    <s v="Koppal"/>
    <s v="Gangavathi"/>
    <s v="Gut No. 943/8"/>
    <s v="Veeranna Kamble"/>
    <n v="2.48"/>
    <x v="2"/>
    <s v="Pending"/>
    <x v="0"/>
    <x v="0"/>
    <m/>
  </r>
  <r>
    <s v="LND-0372"/>
    <x v="6"/>
    <s v="Karnataka"/>
    <x v="10"/>
    <s v="Sindhanur"/>
    <s v="Sindhanur"/>
    <s v="Gut No. 692/8"/>
    <s v="Devendrappa Nayak"/>
    <n v="3.16"/>
    <x v="1"/>
    <s v="Cleared"/>
    <x v="0"/>
    <x v="2"/>
    <m/>
  </r>
  <r>
    <s v="LND-0226"/>
    <x v="12"/>
    <s v="Maharashtra"/>
    <x v="6"/>
    <s v="Latur"/>
    <s v="Murud"/>
    <s v="Gut No. 541/6"/>
    <s v="Balasaheb Bhosale"/>
    <n v="3.25"/>
    <x v="2"/>
    <s v="Pending"/>
    <x v="0"/>
    <x v="0"/>
    <m/>
  </r>
  <r>
    <s v="LND-0339"/>
    <x v="9"/>
    <s v="Karnataka"/>
    <x v="10"/>
    <s v="Manvi"/>
    <s v="Kavital"/>
    <s v="Gut No. 864/9"/>
    <s v="Gurusiddappa Bennur"/>
    <n v="3.35"/>
    <x v="0"/>
    <s v="Pending"/>
    <x v="0"/>
    <x v="1"/>
    <m/>
  </r>
  <r>
    <s v="LND-0122"/>
    <x v="10"/>
    <s v="Maharashtra"/>
    <x v="8"/>
    <s v="Haveli"/>
    <s v="Koregaon Bhima"/>
    <s v="Gut No. 318/7"/>
    <s v="Shankar Yadav"/>
    <n v="3.69"/>
    <x v="2"/>
    <s v="Pending"/>
    <x v="0"/>
    <x v="0"/>
    <m/>
  </r>
  <r>
    <s v="LND-0197"/>
    <x v="10"/>
    <s v="Maharashtra"/>
    <x v="2"/>
    <s v="Barshi"/>
    <s v="Bhalwani"/>
    <s v="512/9"/>
    <s v="Ashok Kadam"/>
    <n v="2.02"/>
    <x v="1"/>
    <s v="Disputed"/>
    <x v="1"/>
    <x v="2"/>
    <m/>
  </r>
  <r>
    <s v="LND-0212"/>
    <x v="8"/>
    <s v="Maharashtra"/>
    <x v="6"/>
    <s v="Latur"/>
    <s v="Latur"/>
    <s v="446/5"/>
    <s v="Mahadev Pawar"/>
    <n v="2.68"/>
    <x v="2"/>
    <s v="Pending"/>
    <x v="0"/>
    <x v="0"/>
    <m/>
  </r>
  <r>
    <s v="LND-0254"/>
    <x v="15"/>
    <s v="Maharashtra"/>
    <x v="3"/>
    <s v="Lohara"/>
    <s v="Lohara"/>
    <s v="344/7"/>
    <s v="Santosh Naik"/>
    <n v="0.79"/>
    <x v="2"/>
    <s v="Pending"/>
    <x v="0"/>
    <x v="0"/>
    <m/>
  </r>
  <r>
    <s v="LND-0079"/>
    <x v="10"/>
    <s v="Maharashtra"/>
    <x v="6"/>
    <s v="Chakur"/>
    <s v="Kinhala"/>
    <s v="Gut No. 680/3"/>
    <s v="Sanjay Shinde"/>
    <n v="1.07"/>
    <x v="3"/>
    <s v="In Progress"/>
    <x v="0"/>
    <x v="2"/>
    <m/>
  </r>
  <r>
    <s v="LND-0305"/>
    <x v="0"/>
    <s v="Karnataka"/>
    <x v="5"/>
    <s v="Muddebihal"/>
    <s v="Devara Hippargi"/>
    <s v="154/9"/>
    <s v="Nagaraj Hegde"/>
    <n v="4.55"/>
    <x v="1"/>
    <s v="Disputed"/>
    <x v="0"/>
    <x v="2"/>
    <m/>
  </r>
  <r>
    <s v="LND-0075"/>
    <x v="5"/>
    <s v="Maharashtra"/>
    <x v="8"/>
    <s v="Baramati"/>
    <s v="Pargaon"/>
    <s v="Gut No. 970/2"/>
    <s v="Ashok Kulkarni"/>
    <n v="2.74"/>
    <x v="3"/>
    <s v="Disputed"/>
    <x v="0"/>
    <x v="2"/>
    <m/>
  </r>
  <r>
    <s v="LND-0044"/>
    <x v="8"/>
    <s v="Maharashtra"/>
    <x v="2"/>
    <s v="Barshi"/>
    <s v="Natepute"/>
    <s v="Gut No. 915/9"/>
    <s v="Dnyandev Kulkarni"/>
    <n v="1.18"/>
    <x v="1"/>
    <s v="Cleared"/>
    <x v="0"/>
    <x v="2"/>
    <m/>
  </r>
  <r>
    <s v="LND-0460"/>
    <x v="6"/>
    <s v="Karnataka"/>
    <x v="4"/>
    <s v="Kushtagi"/>
    <s v="Kinnal"/>
    <s v="572/7"/>
    <s v="Ashok Honnalli"/>
    <n v="4.83"/>
    <x v="0"/>
    <s v="In Progress"/>
    <x v="0"/>
    <x v="1"/>
    <m/>
  </r>
  <r>
    <s v="LND-0017"/>
    <x v="12"/>
    <s v="Maharashtra"/>
    <x v="6"/>
    <s v="Ausa"/>
    <s v="Nilanga"/>
    <s v="100/7"/>
    <s v="Narayan Thorat"/>
    <n v="2.35"/>
    <x v="2"/>
    <s v="Pending"/>
    <x v="0"/>
    <x v="0"/>
    <m/>
  </r>
  <r>
    <s v="LND-0271"/>
    <x v="0"/>
    <s v="Karnataka"/>
    <x v="5"/>
    <s v="Sindgi"/>
    <s v="Nidagundi"/>
    <s v="629/4"/>
    <s v="Prakash Rao"/>
    <n v="2.75"/>
    <x v="1"/>
    <s v="Cleared"/>
    <x v="0"/>
    <x v="3"/>
    <m/>
  </r>
  <r>
    <s v="LND-0093"/>
    <x v="15"/>
    <s v="Maharashtra"/>
    <x v="8"/>
    <s v="Baramati"/>
    <s v="Undewadi"/>
    <s v="Gut No. 119/2"/>
    <s v="Rajendra Chavan"/>
    <n v="1.1100000000000001"/>
    <x v="1"/>
    <s v="Disputed"/>
    <x v="1"/>
    <x v="2"/>
    <m/>
  </r>
  <r>
    <s v="LND-0420"/>
    <x v="6"/>
    <s v="Karnataka"/>
    <x v="5"/>
    <s v="Vijayapura"/>
    <s v="Basavana Bagewadi"/>
    <s v="242/7"/>
    <s v="Gurusiddappa Patil"/>
    <n v="1.25"/>
    <x v="3"/>
    <s v="Disputed"/>
    <x v="0"/>
    <x v="1"/>
    <m/>
  </r>
  <r>
    <s v="LND-0121"/>
    <x v="8"/>
    <s v="Maharashtra"/>
    <x v="6"/>
    <s v="Ausa"/>
    <s v="Ahmedpur"/>
    <s v="809/6"/>
    <s v="Dnyandev Salve"/>
    <n v="0.93"/>
    <x v="1"/>
    <s v="Disputed"/>
    <x v="1"/>
    <x v="2"/>
    <m/>
  </r>
  <r>
    <s v="LND-0359"/>
    <x v="0"/>
    <s v="Karnataka"/>
    <x v="7"/>
    <s v="Sedam"/>
    <s v="Devara Hippargi"/>
    <s v="423/9"/>
    <s v="Hanumantha Desai"/>
    <n v="1.33"/>
    <x v="3"/>
    <s v="In Progress"/>
    <x v="0"/>
    <x v="1"/>
    <m/>
  </r>
  <r>
    <s v="LND-0435"/>
    <x v="6"/>
    <s v="Karnataka"/>
    <x v="7"/>
    <s v="Yadgir"/>
    <s v="Yadgir"/>
    <s v="Gut No. 942/9"/>
    <s v="Ashok Bennur"/>
    <n v="3.07"/>
    <x v="0"/>
    <s v="Pending"/>
    <x v="0"/>
    <x v="0"/>
    <m/>
  </r>
  <r>
    <s v="LND-0403"/>
    <x v="11"/>
    <s v="Karnataka"/>
    <x v="5"/>
    <s v="Muddebihal"/>
    <s v="Horti"/>
    <s v="Gut No. 794/8"/>
    <s v="Mallappa Lamani"/>
    <n v="3.26"/>
    <x v="1"/>
    <s v="Cleared"/>
    <x v="0"/>
    <x v="3"/>
    <m/>
  </r>
  <r>
    <s v="LND-0190"/>
    <x v="3"/>
    <s v="Maharashtra"/>
    <x v="3"/>
    <s v="Lohara"/>
    <s v="Washi"/>
    <s v="Gut No. 714/7"/>
    <s v="Mahadev Kulkarni"/>
    <n v="1.85"/>
    <x v="0"/>
    <s v="In Progress"/>
    <x v="0"/>
    <x v="0"/>
    <m/>
  </r>
  <r>
    <s v="LND-0229"/>
    <x v="15"/>
    <s v="Maharashtra"/>
    <x v="6"/>
    <s v="Chakur"/>
    <s v="Salegaon"/>
    <s v="569/3"/>
    <s v="Sanjay Pawar"/>
    <n v="1.1299999999999999"/>
    <x v="3"/>
    <s v="Cleared"/>
    <x v="0"/>
    <x v="1"/>
    <m/>
  </r>
  <r>
    <s v="LND-0338"/>
    <x v="13"/>
    <s v="Karnataka"/>
    <x v="0"/>
    <s v="Ron"/>
    <s v="Parasgad"/>
    <s v="Gut No. 429/4"/>
    <s v="Eranna Lamani"/>
    <n v="4.84"/>
    <x v="3"/>
    <s v="Cleared"/>
    <x v="0"/>
    <x v="1"/>
    <m/>
  </r>
  <r>
    <s v="LND-0078"/>
    <x v="10"/>
    <s v="Maharashtra"/>
    <x v="9"/>
    <s v="Hadgaon"/>
    <s v="Bhokar"/>
    <s v="Gut No. 891/4"/>
    <s v="Laxman Gaikwad"/>
    <n v="3.07"/>
    <x v="0"/>
    <s v="In Progress"/>
    <x v="0"/>
    <x v="0"/>
    <m/>
  </r>
  <r>
    <s v="LND-0379"/>
    <x v="13"/>
    <s v="Karnataka"/>
    <x v="7"/>
    <s v="Yadgir"/>
    <s v="Hunasagi"/>
    <s v="932/2"/>
    <s v="Fakeerappa Gudadinni"/>
    <n v="4.45"/>
    <x v="1"/>
    <s v="Disputed"/>
    <x v="0"/>
    <x v="2"/>
    <m/>
  </r>
  <r>
    <s v="LND-0303"/>
    <x v="6"/>
    <s v="Karnataka"/>
    <x v="5"/>
    <s v="Muddebihal"/>
    <s v="Devara Hippargi"/>
    <s v="Gut No. 434/7"/>
    <s v="Lingappa Hosamani"/>
    <n v="1.63"/>
    <x v="1"/>
    <s v="Disputed"/>
    <x v="1"/>
    <x v="2"/>
    <m/>
  </r>
  <r>
    <s v="LND-0090"/>
    <x v="14"/>
    <s v="Maharashtra"/>
    <x v="3"/>
    <s v="Lohara"/>
    <s v="Omerga"/>
    <s v="480/2"/>
    <s v="Shankar Gaikwad"/>
    <n v="4.37"/>
    <x v="1"/>
    <s v="Disputed"/>
    <x v="0"/>
    <x v="3"/>
    <m/>
  </r>
  <r>
    <s v="LND-0310"/>
    <x v="1"/>
    <s v="Karnataka"/>
    <x v="7"/>
    <s v="Sedam"/>
    <s v="Sedam"/>
    <s v="Gut No. 543/5"/>
    <s v="Yankappa Reddy"/>
    <n v="4.42"/>
    <x v="0"/>
    <s v="Pending"/>
    <x v="0"/>
    <x v="0"/>
    <m/>
  </r>
  <r>
    <s v="LND-0496"/>
    <x v="7"/>
    <s v="Karnataka"/>
    <x v="0"/>
    <s v="Ron"/>
    <s v="Ron"/>
    <s v="Gut No. 887/1"/>
    <s v="Revanasiddappa Kamble"/>
    <n v="3.66"/>
    <x v="1"/>
    <s v="Disputed"/>
    <x v="1"/>
    <x v="3"/>
    <d v="2024-02-21T00:00:00"/>
  </r>
  <r>
    <s v="LND-0472"/>
    <x v="1"/>
    <s v="Karnataka"/>
    <x v="10"/>
    <s v="Raichur"/>
    <s v="Lingsugur"/>
    <s v="726/5"/>
    <s v="Nagappa Patil"/>
    <n v="1.03"/>
    <x v="1"/>
    <s v="Cleared"/>
    <x v="0"/>
    <x v="3"/>
    <m/>
  </r>
  <r>
    <s v="LND-0008"/>
    <x v="5"/>
    <s v="Maharashtra"/>
    <x v="6"/>
    <s v="Latur"/>
    <s v="Murud"/>
    <s v="253/9"/>
    <s v="Vilas Mane"/>
    <n v="3.86"/>
    <x v="1"/>
    <s v="Disputed"/>
    <x v="1"/>
    <x v="2"/>
    <m/>
  </r>
  <r>
    <s v="LND-0132"/>
    <x v="2"/>
    <s v="Maharashtra"/>
    <x v="8"/>
    <s v="Indapur"/>
    <s v="Nimgaon Ketki"/>
    <s v="562/9"/>
    <s v="Mahadev Deshmukh"/>
    <n v="3.99"/>
    <x v="0"/>
    <s v="In Progress"/>
    <x v="0"/>
    <x v="0"/>
    <m/>
  </r>
  <r>
    <s v="LND-0141"/>
    <x v="5"/>
    <s v="Maharashtra"/>
    <x v="2"/>
    <s v="Akkalkot"/>
    <s v="Khanderajuri"/>
    <s v="Gut No. 458/1"/>
    <s v="Shriram Waghmare"/>
    <n v="3.27"/>
    <x v="1"/>
    <s v="Disputed"/>
    <x v="0"/>
    <x v="2"/>
    <m/>
  </r>
  <r>
    <s v="LND-0483"/>
    <x v="11"/>
    <s v="Karnataka"/>
    <x v="10"/>
    <s v="Manvi"/>
    <s v="Manvi"/>
    <s v="Gut No. 153/3"/>
    <s v="Eranna Gowda"/>
    <n v="0.56999999999999995"/>
    <x v="2"/>
    <s v="Pending"/>
    <x v="0"/>
    <x v="0"/>
    <m/>
  </r>
  <r>
    <s v="LND-0316"/>
    <x v="7"/>
    <s v="Karnataka"/>
    <x v="7"/>
    <s v="Kalaburagi"/>
    <s v="Yadgir"/>
    <s v="217/1"/>
    <s v="Rajesh Hiremath"/>
    <n v="1.26"/>
    <x v="3"/>
    <s v="Disputed"/>
    <x v="0"/>
    <x v="1"/>
    <m/>
  </r>
  <r>
    <s v="LND-0068"/>
    <x v="14"/>
    <s v="Maharashtra"/>
    <x v="3"/>
    <s v="Lohara"/>
    <s v="Washi"/>
    <s v="Gut No. 513/9"/>
    <s v="Sanjay Dhole"/>
    <n v="0.86"/>
    <x v="2"/>
    <s v="Pending"/>
    <x v="0"/>
    <x v="0"/>
    <m/>
  </r>
  <r>
    <s v="LND-0130"/>
    <x v="5"/>
    <s v="Maharashtra"/>
    <x v="8"/>
    <s v="Indapur"/>
    <s v="Lonand"/>
    <s v="Gut No. 242/7"/>
    <s v="Dnyandev Waghmare"/>
    <n v="1.51"/>
    <x v="3"/>
    <s v="In Progress"/>
    <x v="0"/>
    <x v="2"/>
    <m/>
  </r>
  <r>
    <s v="LND-0143"/>
    <x v="3"/>
    <s v="Maharashtra"/>
    <x v="9"/>
    <s v="Biloli"/>
    <s v="Naigaon"/>
    <s v="Gut No. 972/6"/>
    <s v="Narayan Dhole"/>
    <n v="3.93"/>
    <x v="0"/>
    <s v="In Progress"/>
    <x v="0"/>
    <x v="1"/>
    <m/>
  </r>
  <r>
    <s v="LND-0437"/>
    <x v="13"/>
    <s v="Karnataka"/>
    <x v="4"/>
    <s v="Koppal"/>
    <s v="Koppal"/>
    <s v="Gut No. 812/8"/>
    <s v="Siddappa Biradar"/>
    <n v="4.22"/>
    <x v="2"/>
    <s v="Pending"/>
    <x v="0"/>
    <x v="0"/>
    <m/>
  </r>
  <r>
    <s v="LND-0469"/>
    <x v="9"/>
    <s v="Karnataka"/>
    <x v="10"/>
    <s v="Manvi"/>
    <s v="Kavital"/>
    <s v="Gut No. 954/1"/>
    <s v="Mallappa Rao"/>
    <n v="1.95"/>
    <x v="1"/>
    <s v="Cleared"/>
    <x v="1"/>
    <x v="2"/>
    <m/>
  </r>
  <r>
    <s v="LND-0259"/>
    <x v="14"/>
    <s v="Maharashtra"/>
    <x v="8"/>
    <s v="Indapur"/>
    <s v="Nimgaon Ketki"/>
    <s v="Gut No. 578/5"/>
    <s v="Shriram Yadav"/>
    <n v="1.59"/>
    <x v="3"/>
    <s v="Disputed"/>
    <x v="0"/>
    <x v="2"/>
    <m/>
  </r>
  <r>
    <s v="LND-0065"/>
    <x v="2"/>
    <s v="Maharashtra"/>
    <x v="2"/>
    <s v="Mohol"/>
    <s v="Sangola"/>
    <s v="161/1"/>
    <s v="Mahadev Dhole"/>
    <n v="3.6"/>
    <x v="1"/>
    <s v="Disputed"/>
    <x v="0"/>
    <x v="2"/>
    <m/>
  </r>
  <r>
    <s v="LND-0043"/>
    <x v="14"/>
    <s v="Maharashtra"/>
    <x v="2"/>
    <s v="Akkalkot"/>
    <s v="Khanderajuri"/>
    <s v="Gut No. 266/4"/>
    <s v="Sopan Wagh"/>
    <n v="1.75"/>
    <x v="1"/>
    <s v="Cleared"/>
    <x v="1"/>
    <x v="3"/>
    <d v="2022-06-08T00:00:00"/>
  </r>
  <r>
    <s v="LND-0249"/>
    <x v="5"/>
    <s v="Maharashtra"/>
    <x v="3"/>
    <s v="Lohara"/>
    <s v="Anatpal"/>
    <s v="Gut No. 978/2"/>
    <s v="Ramesh Sawant"/>
    <n v="0.8"/>
    <x v="3"/>
    <s v="In Progress"/>
    <x v="0"/>
    <x v="1"/>
    <m/>
  </r>
  <r>
    <s v="LND-0147"/>
    <x v="15"/>
    <s v="Maharashtra"/>
    <x v="3"/>
    <s v="Lohara"/>
    <s v="Anatpal"/>
    <s v="206/3"/>
    <s v="Rajendra Sutar"/>
    <n v="0.62"/>
    <x v="3"/>
    <s v="Cleared"/>
    <x v="0"/>
    <x v="1"/>
    <m/>
  </r>
  <r>
    <s v="LND-0014"/>
    <x v="15"/>
    <s v="Maharashtra"/>
    <x v="2"/>
    <s v="Akkalkot"/>
    <s v="Khanderajuri"/>
    <s v="272/9"/>
    <s v="Raju Yadav"/>
    <n v="2.4"/>
    <x v="0"/>
    <s v="Pending"/>
    <x v="0"/>
    <x v="1"/>
    <m/>
  </r>
  <r>
    <s v="LND-0320"/>
    <x v="0"/>
    <s v="Karnataka"/>
    <x v="1"/>
    <s v="Bidar"/>
    <s v="Aurad"/>
    <s v="624/4"/>
    <s v="Nagaraj Swamy"/>
    <n v="4.24"/>
    <x v="0"/>
    <s v="In Progress"/>
    <x v="0"/>
    <x v="1"/>
    <m/>
  </r>
  <r>
    <s v="LND-0378"/>
    <x v="13"/>
    <s v="Karnataka"/>
    <x v="4"/>
    <s v="Gangavathi"/>
    <s v="Hospet"/>
    <s v="715/9"/>
    <s v="Yankappa Hegde"/>
    <n v="4.72"/>
    <x v="1"/>
    <s v="Disputed"/>
    <x v="1"/>
    <x v="2"/>
    <m/>
  </r>
  <r>
    <s v="LND-0415"/>
    <x v="7"/>
    <s v="Karnataka"/>
    <x v="4"/>
    <s v="Koppal"/>
    <s v="Gangavathi"/>
    <s v="289/5"/>
    <s v="Hanumantha Hosamani"/>
    <n v="3.77"/>
    <x v="0"/>
    <s v="Pending"/>
    <x v="0"/>
    <x v="0"/>
    <m/>
  </r>
  <r>
    <s v="LND-0150"/>
    <x v="3"/>
    <s v="Maharashtra"/>
    <x v="8"/>
    <s v="Haveli"/>
    <s v="Koregaon Bhima"/>
    <s v="Gut No. 169/3"/>
    <s v="Bhagwan Murkute"/>
    <n v="1.51"/>
    <x v="3"/>
    <s v="In Progress"/>
    <x v="0"/>
    <x v="2"/>
    <m/>
  </r>
  <r>
    <s v="LND-0337"/>
    <x v="7"/>
    <s v="Karnataka"/>
    <x v="4"/>
    <s v="Gangavathi"/>
    <s v="Hampi"/>
    <s v="Gut No. 947/9"/>
    <s v="Nagaraj Desai"/>
    <n v="3.61"/>
    <x v="0"/>
    <s v="Pending"/>
    <x v="0"/>
    <x v="0"/>
    <m/>
  </r>
  <r>
    <s v="LND-0027"/>
    <x v="2"/>
    <s v="Maharashtra"/>
    <x v="2"/>
    <s v="Barshi"/>
    <s v="Barshi"/>
    <s v="761/9"/>
    <s v="Shankar Mane"/>
    <n v="1.77"/>
    <x v="0"/>
    <s v="In Progress"/>
    <x v="0"/>
    <x v="0"/>
    <m/>
  </r>
  <r>
    <s v="LND-0452"/>
    <x v="13"/>
    <s v="Karnataka"/>
    <x v="0"/>
    <s v="Gadag"/>
    <s v="Gadag"/>
    <s v="Gut No. 534/4"/>
    <s v="Yankappa Hegde"/>
    <n v="3.08"/>
    <x v="1"/>
    <s v="Disputed"/>
    <x v="1"/>
    <x v="3"/>
    <d v="2022-09-27T00:00:00"/>
  </r>
  <r>
    <s v="LND-0087"/>
    <x v="8"/>
    <s v="Maharashtra"/>
    <x v="8"/>
    <s v="Haveli"/>
    <s v="Uruli Kanchan"/>
    <s v="Gut No. 853/5"/>
    <s v="Kisan Gaikwad"/>
    <n v="3.23"/>
    <x v="3"/>
    <s v="In Progress"/>
    <x v="0"/>
    <x v="1"/>
    <m/>
  </r>
  <r>
    <s v="LND-0464"/>
    <x v="13"/>
    <s v="Karnataka"/>
    <x v="0"/>
    <s v="Gadag"/>
    <s v="Ron"/>
    <s v="Gut No. 45/3"/>
    <s v="Gurusiddappa Doddamani"/>
    <n v="4.42"/>
    <x v="0"/>
    <s v="Pending"/>
    <x v="0"/>
    <x v="0"/>
    <m/>
  </r>
  <r>
    <s v="LND-0243"/>
    <x v="3"/>
    <s v="Maharashtra"/>
    <x v="3"/>
    <s v="Osmanabad"/>
    <s v="Rui"/>
    <s v="490/2"/>
    <s v="Rajendra Bhosale"/>
    <n v="0.9"/>
    <x v="2"/>
    <s v="Pending"/>
    <x v="0"/>
    <x v="0"/>
    <m/>
  </r>
  <r>
    <s v="LND-0473"/>
    <x v="13"/>
    <s v="Karnataka"/>
    <x v="1"/>
    <s v="Basavakalyan"/>
    <s v="Hulsoor"/>
    <d v="2026-12-04T00:00:00"/>
    <s v="Ramesh Rao"/>
    <n v="1.64"/>
    <x v="2"/>
    <s v="Pending"/>
    <x v="0"/>
    <x v="0"/>
    <m/>
  </r>
  <r>
    <s v="LND-0032"/>
    <x v="15"/>
    <s v="Maharashtra"/>
    <x v="3"/>
    <s v="Tuljapur"/>
    <s v="Mhaswad"/>
    <s v="Gut No. 164/2"/>
    <s v="Dattatray Shinde"/>
    <n v="4.3600000000000003"/>
    <x v="0"/>
    <s v="Pending"/>
    <x v="0"/>
    <x v="1"/>
    <m/>
  </r>
  <r>
    <s v="LND-0134"/>
    <x v="12"/>
    <s v="Maharashtra"/>
    <x v="2"/>
    <s v="Barshi"/>
    <s v="Kanheri Sarap"/>
    <s v="630/6"/>
    <s v="Rajendra Sawant"/>
    <n v="2.37"/>
    <x v="2"/>
    <s v="Pending"/>
    <x v="0"/>
    <x v="0"/>
    <m/>
  </r>
  <r>
    <s v="LND-0289"/>
    <x v="11"/>
    <s v="Karnataka"/>
    <x v="7"/>
    <s v="Yadgir"/>
    <s v="Yadgir"/>
    <s v="Gut No. 451/8"/>
    <s v="Eranna Hegde"/>
    <n v="4.2699999999999996"/>
    <x v="2"/>
    <s v="Pending"/>
    <x v="0"/>
    <x v="0"/>
    <m/>
  </r>
  <r>
    <s v="LND-0402"/>
    <x v="11"/>
    <s v="Karnataka"/>
    <x v="4"/>
    <s v="Kushtagi"/>
    <s v="Bettadur"/>
    <s v="Gut No. 21/7"/>
    <s v="Veeranna Angadi"/>
    <n v="4.4000000000000004"/>
    <x v="0"/>
    <s v="Pending"/>
    <x v="0"/>
    <x v="1"/>
    <m/>
  </r>
  <r>
    <s v="LND-0373"/>
    <x v="9"/>
    <s v="Karnataka"/>
    <x v="4"/>
    <s v="Kushtagi"/>
    <s v="Guttal"/>
    <s v="645/9"/>
    <s v="Shivanand Doddamani"/>
    <n v="1.1599999999999999"/>
    <x v="0"/>
    <s v="In Progress"/>
    <x v="0"/>
    <x v="0"/>
    <m/>
  </r>
  <r>
    <s v="LND-0156"/>
    <x v="3"/>
    <s v="Maharashtra"/>
    <x v="3"/>
    <s v="Tuljapur"/>
    <s v="Umarga"/>
    <s v="Gut No. 255/3"/>
    <s v="Sopan Salve"/>
    <n v="4.7"/>
    <x v="3"/>
    <s v="In Progress"/>
    <x v="0"/>
    <x v="1"/>
    <m/>
  </r>
  <r>
    <s v="LND-0384"/>
    <x v="13"/>
    <s v="Karnataka"/>
    <x v="0"/>
    <s v="Gadag"/>
    <s v="Gadag"/>
    <s v="483/7"/>
    <s v="Mallappa Naik"/>
    <n v="1.68"/>
    <x v="3"/>
    <s v="In Progress"/>
    <x v="0"/>
    <x v="1"/>
    <m/>
  </r>
  <r>
    <s v="LND-0306"/>
    <x v="1"/>
    <s v="Karnataka"/>
    <x v="5"/>
    <s v="Sindgi"/>
    <s v="Talikot"/>
    <s v="Gut No. 398/1"/>
    <s v="Rajesh Doddamani"/>
    <n v="4.17"/>
    <x v="3"/>
    <s v="Disputed"/>
    <x v="0"/>
    <x v="1"/>
    <m/>
  </r>
  <r>
    <s v="LND-0356"/>
    <x v="11"/>
    <s v="Karnataka"/>
    <x v="4"/>
    <s v="Koppal"/>
    <s v="Kushtagi"/>
    <s v="Gut No. 622/2"/>
    <s v="Fakeerappa Hosamani"/>
    <n v="2.2200000000000002"/>
    <x v="2"/>
    <s v="Pending"/>
    <x v="0"/>
    <x v="0"/>
    <m/>
  </r>
  <r>
    <s v="LND-0019"/>
    <x v="8"/>
    <s v="Maharashtra"/>
    <x v="6"/>
    <s v="Latur"/>
    <s v="Latur"/>
    <s v="Gut No. 828/9"/>
    <s v="Vitthal Shinde"/>
    <n v="3.43"/>
    <x v="2"/>
    <s v="Pending"/>
    <x v="0"/>
    <x v="0"/>
    <m/>
  </r>
  <r>
    <s v="LND-0086"/>
    <x v="5"/>
    <s v="Maharashtra"/>
    <x v="6"/>
    <s v="Latur"/>
    <s v="Udgir"/>
    <s v="Gut No. 586/6"/>
    <s v="Pramod Pawar"/>
    <n v="4.97"/>
    <x v="3"/>
    <s v="In Progress"/>
    <x v="0"/>
    <x v="2"/>
    <m/>
  </r>
  <r>
    <s v="LND-0149"/>
    <x v="15"/>
    <s v="Maharashtra"/>
    <x v="3"/>
    <s v="Lohara"/>
    <s v="Lohara"/>
    <s v="Gut No. 478/9"/>
    <s v="Narayan Kulkarni"/>
    <n v="4.45"/>
    <x v="0"/>
    <s v="Pending"/>
    <x v="0"/>
    <x v="1"/>
    <m/>
  </r>
  <r>
    <s v="LND-0151"/>
    <x v="12"/>
    <s v="Maharashtra"/>
    <x v="9"/>
    <s v="Hadgaon"/>
    <s v="Kinwat"/>
    <s v="Gut No. 630/9"/>
    <s v="Dnyandev Naik"/>
    <n v="3.38"/>
    <x v="0"/>
    <s v="Pending"/>
    <x v="0"/>
    <x v="1"/>
    <m/>
  </r>
  <r>
    <s v="LND-0465"/>
    <x v="9"/>
    <s v="Karnataka"/>
    <x v="0"/>
    <s v="Gadag"/>
    <s v="Ron"/>
    <s v="Gut No. 317/8"/>
    <s v="Fakeerappa Honnalli"/>
    <n v="1.31"/>
    <x v="0"/>
    <s v="Pending"/>
    <x v="0"/>
    <x v="0"/>
    <m/>
  </r>
  <r>
    <s v="LND-0181"/>
    <x v="3"/>
    <s v="Maharashtra"/>
    <x v="9"/>
    <s v="Biloli"/>
    <s v="Mukhed"/>
    <s v="169/6"/>
    <s v="Raju Naik"/>
    <n v="2.4900000000000002"/>
    <x v="0"/>
    <s v="In Progress"/>
    <x v="0"/>
    <x v="0"/>
    <m/>
  </r>
  <r>
    <s v="LND-0216"/>
    <x v="5"/>
    <s v="Maharashtra"/>
    <x v="3"/>
    <s v="Osmanabad"/>
    <s v="Shirur Anantpal"/>
    <s v="607/9"/>
    <s v="Pandhari Kadam"/>
    <n v="3.95"/>
    <x v="2"/>
    <s v="Pending"/>
    <x v="0"/>
    <x v="0"/>
    <m/>
  </r>
  <r>
    <s v="LND-0170"/>
    <x v="15"/>
    <s v="Maharashtra"/>
    <x v="8"/>
    <s v="Haveli"/>
    <s v="Manjari"/>
    <s v="249/1"/>
    <s v="Subhash Naik"/>
    <n v="1.52"/>
    <x v="0"/>
    <s v="Pending"/>
    <x v="0"/>
    <x v="0"/>
    <m/>
  </r>
  <r>
    <s v="LND-0376"/>
    <x v="6"/>
    <s v="Karnataka"/>
    <x v="10"/>
    <s v="Sindhanur"/>
    <s v="Maski"/>
    <s v="17/4"/>
    <s v="Ashok Hiremath"/>
    <n v="3.58"/>
    <x v="0"/>
    <s v="Pending"/>
    <x v="0"/>
    <x v="0"/>
    <m/>
  </r>
  <r>
    <s v="LND-0294"/>
    <x v="7"/>
    <s v="Karnataka"/>
    <x v="0"/>
    <s v="Ron"/>
    <s v="Ron"/>
    <s v="Gut No. 154/3"/>
    <s v="Rajesh Doddamani"/>
    <n v="3.12"/>
    <x v="2"/>
    <s v="Pending"/>
    <x v="0"/>
    <x v="0"/>
    <m/>
  </r>
  <r>
    <s v="LND-0478"/>
    <x v="11"/>
    <s v="Karnataka"/>
    <x v="0"/>
    <s v="Gadag"/>
    <s v="Nargund"/>
    <s v="Gut No. 89/8"/>
    <s v="Revanasiddappa Angadi"/>
    <n v="2.5299999999999998"/>
    <x v="3"/>
    <s v="In Progress"/>
    <x v="0"/>
    <x v="2"/>
    <m/>
  </r>
  <r>
    <s v="LND-0263"/>
    <x v="5"/>
    <s v="Maharashtra"/>
    <x v="8"/>
    <s v="Haveli"/>
    <s v="Manjari"/>
    <s v="446/3"/>
    <s v="Rajendra Pawar"/>
    <n v="1.67"/>
    <x v="3"/>
    <s v="Cleared"/>
    <x v="0"/>
    <x v="2"/>
    <m/>
  </r>
  <r>
    <s v="LND-0233"/>
    <x v="12"/>
    <s v="Maharashtra"/>
    <x v="3"/>
    <s v="Osmanabad"/>
    <s v="Rui"/>
    <s v="Gut No. 357/2"/>
    <s v="Arjun Deshmukh"/>
    <n v="3.99"/>
    <x v="0"/>
    <s v="Pending"/>
    <x v="0"/>
    <x v="1"/>
    <m/>
  </r>
  <r>
    <s v="LND-0241"/>
    <x v="15"/>
    <s v="Maharashtra"/>
    <x v="3"/>
    <s v="Osmanabad"/>
    <s v="Naldurg"/>
    <s v="Gut No. 257/2"/>
    <s v="Narayan Kadam"/>
    <n v="4.57"/>
    <x v="0"/>
    <s v="Pending"/>
    <x v="0"/>
    <x v="1"/>
    <m/>
  </r>
  <r>
    <s v="LND-0006"/>
    <x v="10"/>
    <s v="Maharashtra"/>
    <x v="2"/>
    <s v="Akkalkot"/>
    <s v="Mulegaon"/>
    <s v="624/3"/>
    <s v="Vilas Londhe"/>
    <n v="1.6"/>
    <x v="1"/>
    <s v="Disputed"/>
    <x v="1"/>
    <x v="2"/>
    <m/>
  </r>
  <r>
    <s v="LND-0484"/>
    <x v="6"/>
    <s v="Karnataka"/>
    <x v="4"/>
    <s v="Gangavathi"/>
    <s v="Hampi"/>
    <s v="Gut No. 278/3"/>
    <s v="Ramesh Rao"/>
    <n v="3.08"/>
    <x v="0"/>
    <s v="Pending"/>
    <x v="0"/>
    <x v="1"/>
    <m/>
  </r>
  <r>
    <s v="LND-0274"/>
    <x v="0"/>
    <s v="Karnataka"/>
    <x v="1"/>
    <s v="Basavakalyan"/>
    <s v="Wadi"/>
    <s v="Gut No. 786/4"/>
    <s v="Siddappa Gowda"/>
    <n v="1.62"/>
    <x v="0"/>
    <s v="In Progress"/>
    <x v="0"/>
    <x v="0"/>
    <m/>
  </r>
  <r>
    <s v="LND-0176"/>
    <x v="15"/>
    <s v="Maharashtra"/>
    <x v="9"/>
    <s v="Hadgaon"/>
    <s v="Bhokar"/>
    <s v="Gut No. 89/7"/>
    <s v="Subhash Deshmukh"/>
    <n v="1.33"/>
    <x v="0"/>
    <s v="In Progress"/>
    <x v="0"/>
    <x v="1"/>
    <m/>
  </r>
  <r>
    <s v="LND-0028"/>
    <x v="8"/>
    <s v="Maharashtra"/>
    <x v="9"/>
    <s v="Hadgaon"/>
    <s v="Mahur"/>
    <s v="95/7"/>
    <s v="Sopan Mane"/>
    <n v="0.7"/>
    <x v="3"/>
    <s v="In Progress"/>
    <x v="0"/>
    <x v="2"/>
    <m/>
  </r>
  <r>
    <s v="LND-0314"/>
    <x v="6"/>
    <s v="Karnataka"/>
    <x v="7"/>
    <s v="Sedam"/>
    <s v="Devara Hippargi"/>
    <s v="Gut No. 133/2"/>
    <s v="Mahantappa Hiremath"/>
    <n v="3.15"/>
    <x v="0"/>
    <s v="Pending"/>
    <x v="0"/>
    <x v="0"/>
    <m/>
  </r>
  <r>
    <s v="LND-0160"/>
    <x v="5"/>
    <s v="Maharashtra"/>
    <x v="9"/>
    <s v="Hadgaon"/>
    <s v="Umri"/>
    <s v="Gut No. 846/2"/>
    <s v="Shankar Deshmukh"/>
    <n v="2.27"/>
    <x v="3"/>
    <s v="Disputed"/>
    <x v="0"/>
    <x v="2"/>
    <m/>
  </r>
  <r>
    <s v="LND-0297"/>
    <x v="11"/>
    <s v="Karnataka"/>
    <x v="5"/>
    <s v="Sindgi"/>
    <s v="Tikota"/>
    <s v="Gut No. 879/2"/>
    <s v="Revanasiddappa Kulkarni"/>
    <n v="1.85"/>
    <x v="1"/>
    <s v="Disputed"/>
    <x v="1"/>
    <x v="3"/>
    <d v="2022-07-02T00:00:00"/>
  </r>
  <r>
    <s v="LND-0409"/>
    <x v="13"/>
    <s v="Karnataka"/>
    <x v="4"/>
    <s v="Kushtagi"/>
    <s v="Hiregonagar"/>
    <s v="Gut No. 931/6"/>
    <s v="Devendrappa Bennur"/>
    <n v="1.52"/>
    <x v="2"/>
    <s v="Pending"/>
    <x v="0"/>
    <x v="0"/>
    <m/>
  </r>
  <r>
    <s v="LND-0277"/>
    <x v="4"/>
    <s v="Karnataka"/>
    <x v="1"/>
    <s v="Bidar"/>
    <s v="Chitaguppa"/>
    <s v="21/9"/>
    <s v="Devendrappa Patil"/>
    <n v="1.99"/>
    <x v="0"/>
    <s v="Pending"/>
    <x v="0"/>
    <x v="1"/>
    <m/>
  </r>
  <r>
    <s v="LND-0325"/>
    <x v="11"/>
    <s v="Karnataka"/>
    <x v="10"/>
    <s v="Manvi"/>
    <s v="Yaragera"/>
    <s v="382/6"/>
    <s v="Siddappa Gowda"/>
    <n v="2.2999999999999998"/>
    <x v="1"/>
    <s v="Disputed"/>
    <x v="1"/>
    <x v="3"/>
    <d v="2024-05-13T00:00:00"/>
  </r>
  <r>
    <s v="LND-0351"/>
    <x v="13"/>
    <s v="Karnataka"/>
    <x v="5"/>
    <s v="Muddebihal"/>
    <s v="Devara Hippargi"/>
    <s v="934/9"/>
    <s v="Nagaraj Angadi"/>
    <n v="2.81"/>
    <x v="1"/>
    <s v="Disputed"/>
    <x v="0"/>
    <x v="3"/>
    <m/>
  </r>
  <r>
    <s v="LND-0040"/>
    <x v="10"/>
    <s v="Maharashtra"/>
    <x v="8"/>
    <s v="Baramati"/>
    <s v="Undewadi"/>
    <s v="826/4"/>
    <s v="Shankar Patil"/>
    <n v="0.71"/>
    <x v="1"/>
    <s v="Cleared"/>
    <x v="1"/>
    <x v="3"/>
    <d v="2023-02-03T00:00:00"/>
  </r>
  <r>
    <s v="LND-0343"/>
    <x v="0"/>
    <s v="Karnataka"/>
    <x v="7"/>
    <s v="Sedam"/>
    <s v="Sedam"/>
    <s v="Gut No. 834/8"/>
    <s v="Veeranna Gudadinni"/>
    <n v="4.41"/>
    <x v="0"/>
    <s v="In Progress"/>
    <x v="0"/>
    <x v="0"/>
    <m/>
  </r>
  <r>
    <s v="LND-0340"/>
    <x v="11"/>
    <s v="Karnataka"/>
    <x v="0"/>
    <s v="Gadag"/>
    <s v="Mundargi"/>
    <s v="516/9"/>
    <s v="Ramesh Honnalli"/>
    <n v="1.95"/>
    <x v="2"/>
    <s v="Pending"/>
    <x v="0"/>
    <x v="0"/>
    <m/>
  </r>
  <r>
    <s v="LND-0380"/>
    <x v="7"/>
    <s v="Karnataka"/>
    <x v="4"/>
    <s v="Kushtagi"/>
    <s v="Kushtagi"/>
    <s v="385/4"/>
    <s v="Ramesh Hugar"/>
    <n v="2.34"/>
    <x v="2"/>
    <s v="Pending"/>
    <x v="0"/>
    <x v="0"/>
    <m/>
  </r>
  <r>
    <s v="LND-0323"/>
    <x v="0"/>
    <s v="Karnataka"/>
    <x v="0"/>
    <s v="Gadag"/>
    <s v="Ron"/>
    <s v="Gut No. 271/8"/>
    <s v="Shivanand Gowda"/>
    <n v="4.16"/>
    <x v="2"/>
    <s v="Pending"/>
    <x v="0"/>
    <x v="0"/>
    <m/>
  </r>
  <r>
    <s v="LND-0242"/>
    <x v="8"/>
    <s v="Maharashtra"/>
    <x v="2"/>
    <s v="Barshi"/>
    <s v="Barshi"/>
    <d v="2026-02-04T00:00:00"/>
    <s v="Sanjay Jadhav"/>
    <n v="1.1000000000000001"/>
    <x v="0"/>
    <s v="In Progress"/>
    <x v="0"/>
    <x v="0"/>
    <m/>
  </r>
  <r>
    <s v="LND-0126"/>
    <x v="5"/>
    <s v="Maharashtra"/>
    <x v="3"/>
    <s v="Lohara"/>
    <s v="Anatpal"/>
    <s v="Gut No. 626/5"/>
    <s v="Kisan Londhe"/>
    <n v="4.03"/>
    <x v="0"/>
    <s v="Pending"/>
    <x v="0"/>
    <x v="1"/>
    <m/>
  </r>
  <r>
    <s v="LND-0046"/>
    <x v="5"/>
    <s v="Maharashtra"/>
    <x v="6"/>
    <s v="Latur"/>
    <s v="Murud"/>
    <s v="Gut No. 772/7"/>
    <s v="Raju Thorat"/>
    <n v="2.92"/>
    <x v="0"/>
    <s v="In Progress"/>
    <x v="0"/>
    <x v="0"/>
    <m/>
  </r>
  <r>
    <s v="LND-0313"/>
    <x v="13"/>
    <s v="Karnataka"/>
    <x v="1"/>
    <s v="Bidar"/>
    <s v="Chitaguppa"/>
    <s v="749/6"/>
    <s v="Basavaraj Hugar"/>
    <n v="3.91"/>
    <x v="0"/>
    <s v="Pending"/>
    <x v="0"/>
    <x v="0"/>
    <m/>
  </r>
  <r>
    <s v="LND-0456"/>
    <x v="11"/>
    <s v="Karnataka"/>
    <x v="1"/>
    <s v="Humnabad"/>
    <s v="Saidapur"/>
    <s v="515/8"/>
    <s v="Ramesh Honnalli"/>
    <n v="2.1800000000000002"/>
    <x v="1"/>
    <s v="Disputed"/>
    <x v="1"/>
    <x v="2"/>
    <m/>
  </r>
  <r>
    <s v="LND-0268"/>
    <x v="14"/>
    <s v="Maharashtra"/>
    <x v="8"/>
    <s v="Baramati"/>
    <s v="Pargaon"/>
    <s v="64/4"/>
    <s v="Shankar Kale"/>
    <n v="4.21"/>
    <x v="3"/>
    <s v="Disputed"/>
    <x v="0"/>
    <x v="1"/>
    <m/>
  </r>
  <r>
    <s v="LND-0491"/>
    <x v="13"/>
    <s v="Karnataka"/>
    <x v="1"/>
    <s v="Basavakalyan"/>
    <s v="Kamalnagar"/>
    <s v="Gut No. 804/7"/>
    <s v="Rajesh Hugar"/>
    <n v="2.95"/>
    <x v="0"/>
    <s v="Pending"/>
    <x v="0"/>
    <x v="0"/>
    <m/>
  </r>
  <r>
    <s v="LND-0265"/>
    <x v="15"/>
    <s v="Maharashtra"/>
    <x v="6"/>
    <s v="Ausa"/>
    <s v="Ahmedpur"/>
    <s v="Gut No. 124/9"/>
    <s v="Narayan Kale"/>
    <n v="2.5299999999999998"/>
    <x v="1"/>
    <s v="Disputed"/>
    <x v="0"/>
    <x v="2"/>
    <m/>
  </r>
  <r>
    <s v="LND-0239"/>
    <x v="5"/>
    <s v="Maharashtra"/>
    <x v="2"/>
    <s v="Barshi"/>
    <s v="Shegaon"/>
    <s v="Gut No. 275/6"/>
    <s v="Sopan Pawar"/>
    <n v="2.02"/>
    <x v="0"/>
    <s v="In Progress"/>
    <x v="0"/>
    <x v="1"/>
    <m/>
  </r>
  <r>
    <s v="LND-0144"/>
    <x v="10"/>
    <s v="Maharashtra"/>
    <x v="3"/>
    <s v="Osmanabad"/>
    <s v="Osmanabad"/>
    <s v="754/3"/>
    <s v="Sanjay Naik"/>
    <n v="2.2400000000000002"/>
    <x v="2"/>
    <s v="Pending"/>
    <x v="0"/>
    <x v="0"/>
    <m/>
  </r>
  <r>
    <s v="LND-0399"/>
    <x v="0"/>
    <s v="Karnataka"/>
    <x v="7"/>
    <s v="Sedam"/>
    <s v="Sannati"/>
    <s v="Gut No. 201/3"/>
    <s v="Srinivas Kulkarni"/>
    <n v="2.63"/>
    <x v="2"/>
    <s v="Pending"/>
    <x v="0"/>
    <x v="0"/>
    <m/>
  </r>
  <r>
    <s v="LND-0385"/>
    <x v="13"/>
    <s v="Karnataka"/>
    <x v="10"/>
    <s v="Manvi"/>
    <s v="Kavital"/>
    <s v="Gut No. 729/1"/>
    <s v="Nagaraj Desai"/>
    <n v="3.38"/>
    <x v="1"/>
    <s v="Cleared"/>
    <x v="0"/>
    <x v="3"/>
    <m/>
  </r>
  <r>
    <s v="LND-0440"/>
    <x v="9"/>
    <s v="Karnataka"/>
    <x v="1"/>
    <s v="Humnabad"/>
    <s v="Saidapur"/>
    <s v="Gut No. 771/9"/>
    <s v="Mallappa Hegde"/>
    <n v="2.44"/>
    <x v="1"/>
    <s v="Cleared"/>
    <x v="0"/>
    <x v="3"/>
    <m/>
  </r>
  <r>
    <s v="LND-0270"/>
    <x v="14"/>
    <s v="Maharashtra"/>
    <x v="8"/>
    <s v="Baramati"/>
    <s v="Varkute Malharvadi"/>
    <s v="Gut No. 509/1"/>
    <s v="Dattatray Kadam"/>
    <n v="2.42"/>
    <x v="3"/>
    <s v="In Progress"/>
    <x v="0"/>
    <x v="1"/>
    <m/>
  </r>
  <r>
    <s v="LND-0375"/>
    <x v="13"/>
    <s v="Karnataka"/>
    <x v="4"/>
    <s v="Koppal"/>
    <s v="Kanakagiri"/>
    <s v="639/9"/>
    <s v="Eranna Desai"/>
    <n v="3.76"/>
    <x v="3"/>
    <s v="Cleared"/>
    <x v="0"/>
    <x v="1"/>
    <m/>
  </r>
  <r>
    <s v="LND-0374"/>
    <x v="13"/>
    <s v="Karnataka"/>
    <x v="4"/>
    <s v="Kushtagi"/>
    <s v="Kushtagi"/>
    <s v="Gut No. 970/2"/>
    <s v="Nagappa Hosamani"/>
    <n v="3.23"/>
    <x v="1"/>
    <s v="Disputed"/>
    <x v="0"/>
    <x v="2"/>
    <m/>
  </r>
  <r>
    <s v="LND-0073"/>
    <x v="14"/>
    <s v="Maharashtra"/>
    <x v="6"/>
    <s v="Latur"/>
    <s v="Udgir"/>
    <s v="Gut No. 638/8"/>
    <s v="Ashok Dhole"/>
    <n v="3.92"/>
    <x v="0"/>
    <s v="In Progress"/>
    <x v="0"/>
    <x v="0"/>
    <m/>
  </r>
  <r>
    <s v="LND-0041"/>
    <x v="5"/>
    <s v="Maharashtra"/>
    <x v="6"/>
    <s v="Ausa"/>
    <s v="Nilanga"/>
    <s v="672/1"/>
    <s v="Kisan Deshmukh"/>
    <n v="4"/>
    <x v="0"/>
    <s v="Pending"/>
    <x v="0"/>
    <x v="1"/>
    <m/>
  </r>
  <r>
    <s v="LND-0354"/>
    <x v="4"/>
    <s v="Karnataka"/>
    <x v="1"/>
    <s v="Bidar"/>
    <s v="Humnabad"/>
    <s v="Gut No. 572/2"/>
    <s v="Rajesh Hegde"/>
    <n v="4.5999999999999996"/>
    <x v="1"/>
    <s v="Disputed"/>
    <x v="1"/>
    <x v="3"/>
    <d v="2024-06-05T00:00:00"/>
  </r>
  <r>
    <s v="LND-0493"/>
    <x v="11"/>
    <s v="Karnataka"/>
    <x v="10"/>
    <s v="Manvi"/>
    <s v="Manvi"/>
    <s v="223/3"/>
    <s v="Rajesh Honnalli"/>
    <n v="4.1399999999999997"/>
    <x v="0"/>
    <s v="Pending"/>
    <x v="0"/>
    <x v="1"/>
    <m/>
  </r>
  <r>
    <s v="LND-0247"/>
    <x v="12"/>
    <s v="Maharashtra"/>
    <x v="9"/>
    <s v="Hadgaon"/>
    <s v="Hadgaon"/>
    <s v="Gut No. 211/9"/>
    <s v="Balasaheb Naik"/>
    <n v="1.35"/>
    <x v="1"/>
    <s v="Disputed"/>
    <x v="0"/>
    <x v="2"/>
    <m/>
  </r>
  <r>
    <s v="LND-0298"/>
    <x v="6"/>
    <s v="Karnataka"/>
    <x v="10"/>
    <s v="Raichur"/>
    <s v="Devadurga"/>
    <s v="Gut No. 778/9"/>
    <s v="Lingappa Reddy"/>
    <n v="2.82"/>
    <x v="0"/>
    <s v="Pending"/>
    <x v="0"/>
    <x v="1"/>
    <m/>
  </r>
  <r>
    <s v="LND-0058"/>
    <x v="8"/>
    <s v="Maharashtra"/>
    <x v="2"/>
    <s v="Barshi"/>
    <s v="Shegaon"/>
    <s v="Gut No. 680/6"/>
    <s v="Sanjay Chavan"/>
    <n v="2.89"/>
    <x v="1"/>
    <s v="Disputed"/>
    <x v="1"/>
    <x v="3"/>
    <d v="2023-07-09T00:00:00"/>
  </r>
  <r>
    <s v="LND-0189"/>
    <x v="12"/>
    <s v="Maharashtra"/>
    <x v="3"/>
    <s v="Osmanabad"/>
    <s v="Naldurg"/>
    <s v="424/5"/>
    <s v="Santosh Shinde"/>
    <n v="3.01"/>
    <x v="0"/>
    <s v="In Progress"/>
    <x v="0"/>
    <x v="1"/>
    <m/>
  </r>
  <r>
    <s v="LND-0361"/>
    <x v="1"/>
    <s v="Karnataka"/>
    <x v="5"/>
    <s v="Sindgi"/>
    <s v="Nidagundi"/>
    <s v="103/5"/>
    <s v="Anil Naik"/>
    <n v="4.55"/>
    <x v="3"/>
    <s v="Cleared"/>
    <x v="0"/>
    <x v="2"/>
    <m/>
  </r>
  <r>
    <s v="LND-0248"/>
    <x v="14"/>
    <s v="Maharashtra"/>
    <x v="6"/>
    <s v="Latur"/>
    <s v="Udgir"/>
    <s v="Gut No. 654/2"/>
    <s v="Anil Patil"/>
    <n v="4.9400000000000004"/>
    <x v="3"/>
    <s v="In Progress"/>
    <x v="0"/>
    <x v="2"/>
    <m/>
  </r>
  <r>
    <s v="LND-0291"/>
    <x v="13"/>
    <s v="Karnataka"/>
    <x v="4"/>
    <s v="Gangavathi"/>
    <s v="Hampi"/>
    <s v="Gut No. 587/4"/>
    <s v="Devendrappa Rao"/>
    <n v="0.86"/>
    <x v="2"/>
    <s v="Pending"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960F5-01C6-4363-A405-A0CB2E9224C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42:B47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rcel_ID" fld="0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47404-A576-4852-93E9-627538F041F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4:B21" firstHeaderRow="1" firstDataRow="1" firstDataCol="1" rowPageCount="1" colPageCount="1"/>
  <pivotFields count="14">
    <pivotField showAll="0"/>
    <pivotField axis="axisRow" showAll="0">
      <items count="17">
        <item x="7"/>
        <item x="4"/>
        <item x="9"/>
        <item x="6"/>
        <item x="0"/>
        <item x="11"/>
        <item x="13"/>
        <item x="1"/>
        <item x="3"/>
        <item x="2"/>
        <item x="15"/>
        <item x="12"/>
        <item x="8"/>
        <item x="10"/>
        <item x="5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11" item="1" hier="-1"/>
  </pageFields>
  <dataFields count="1">
    <dataField name="Sum of Land_Area_Acres" fld="8" baseField="1" baseItem="0" numFmtId="2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034221-A2F5-4740-8D84-BBEB8077E17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42:H47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axis="axisRow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Count of Parcel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33822-C914-4137-AC6B-D3CF0C81D03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2:H14" firstHeaderRow="1" firstDataRow="1" firstDataCol="1"/>
  <pivotFields count="14">
    <pivotField showAll="0"/>
    <pivotField showAll="0"/>
    <pivotField showAll="0"/>
    <pivotField axis="axisRow" showAll="0">
      <items count="12">
        <item x="1"/>
        <item x="0"/>
        <item x="7"/>
        <item x="4"/>
        <item x="6"/>
        <item x="9"/>
        <item x="3"/>
        <item x="8"/>
        <item x="10"/>
        <item x="2"/>
        <item x="5"/>
        <item t="default"/>
      </items>
    </pivotField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Land_Area_Acres" fld="8" baseField="0" baseItem="0" numFmtId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7CE5D4-AB35-43A7-AA02-EC289206CE52}" name="tbl_land_parcels" displayName="tbl_land_parcels" ref="A1:N501" totalsRowShown="0">
  <autoFilter ref="A1:N501" xr:uid="{0F7CE5D4-AB35-43A7-AA02-EC289206CE52}"/>
  <tableColumns count="14">
    <tableColumn id="1" xr3:uid="{06B0B109-9961-4F4D-845C-A6EB5854CD3E}" name="Parcel_ID" dataDxfId="10"/>
    <tableColumn id="2" xr3:uid="{321FD5EF-3FAB-4A4A-B06F-1184F761444C}" name="Project_ID" dataDxfId="9"/>
    <tableColumn id="3" xr3:uid="{8614D137-859A-4B2E-9E84-CF43846082D0}" name="State" dataDxfId="8"/>
    <tableColumn id="4" xr3:uid="{E81A30F2-8DD2-4F83-B221-5168686DB78D}" name="District"/>
    <tableColumn id="5" xr3:uid="{56B4D177-4055-41E5-B50C-B075A4F0B667}" name="Taluka"/>
    <tableColumn id="6" xr3:uid="{D2C06098-FCDA-404D-856D-50B9F5205A78}" name="Village"/>
    <tableColumn id="7" xr3:uid="{BCF09134-08CA-48E1-97EB-3D75E80472C6}" name="Survey_Number"/>
    <tableColumn id="8" xr3:uid="{C3E7CB65-ADD7-47D2-928E-42650A237E47}" name="Farmer_Name"/>
    <tableColumn id="9" xr3:uid="{789EA86A-10D7-4E8B-8D51-6AB572D47E4E}" name="Land_Area_Acres" dataDxfId="7"/>
    <tableColumn id="10" xr3:uid="{4BA34570-768F-4AC9-A94C-310601B6C6BA}" name="Agreement_Status"/>
    <tableColumn id="11" xr3:uid="{ED51D6C1-B0BB-4096-88B7-774A7A4138AD}" name="Legal_Verification"/>
    <tableColumn id="12" xr3:uid="{0586A55E-BA99-4B3B-999F-A102DCC92990}" name="Registration_Status"/>
    <tableColumn id="13" xr3:uid="{604F7403-239D-47CC-9570-5FDF906FF0B8}" name="Payment_Status"/>
    <tableColumn id="14" xr3:uid="{1F59DFC6-4221-46E8-B254-073ABB851A46}" name="Acquisition_Dat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DB4FEC-2089-4EBD-B2B4-2601878BAFEB}" name="tbl_projects" displayName="tbl_projects" ref="A1:I18" totalsRowCount="1">
  <autoFilter ref="A1:I17" xr:uid="{54DB4FEC-2089-4EBD-B2B4-2601878BAFEB}"/>
  <tableColumns count="9">
    <tableColumn id="1" xr3:uid="{3615B14E-D30D-4974-B580-A581C2B6F098}" name="Project_ID"/>
    <tableColumn id="2" xr3:uid="{71AF97EE-73A7-4BF5-8A92-6DD911F48081}" name="Project_Name"/>
    <tableColumn id="3" xr3:uid="{6817DB04-87BE-4119-8902-4E5698E229E5}" name="State"/>
    <tableColumn id="4" xr3:uid="{A8608349-D5FA-4BD7-AD14-C03AFA1E18DD}" name="District"/>
    <tableColumn id="5" xr3:uid="{591B62B3-3540-4F4E-BAF7-96630A006FA4}" name="Energy_Type"/>
    <tableColumn id="6" xr3:uid="{4FDF68BB-696E-49F4-AED1-62B3CE71FA12}" name="Capacity_MW" totalsRowFunction="sum" dataDxfId="5" totalsRowDxfId="4"/>
    <tableColumn id="7" xr3:uid="{560F3E71-2052-40F2-9E96-7F90F6AA7CCC}" name="Land_Required_Acres" totalsRowFunction="sum" dataDxfId="3" totalsRowDxfId="2"/>
    <tableColumn id="8" xr3:uid="{819FEB0E-7E23-4B36-A56F-4D262AC7A137}" name="Expected_Commission_Date" dataDxfId="1" totalsRowDxfId="0"/>
    <tableColumn id="9" xr3:uid="{89C1B8D7-87AD-4FE1-9FAA-6767C75E5D70}" name="Project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741D-F593-444B-806D-7736A8EDBCE3}">
  <dimension ref="A1:N503"/>
  <sheetViews>
    <sheetView topLeftCell="A2" workbookViewId="0">
      <selection activeCell="F16" sqref="F16"/>
    </sheetView>
  </sheetViews>
  <sheetFormatPr defaultRowHeight="14.4" x14ac:dyDescent="0.3"/>
  <cols>
    <col min="1" max="1" width="13.44140625" style="3" customWidth="1"/>
    <col min="2" max="2" width="14" style="3" customWidth="1"/>
    <col min="3" max="3" width="11.44140625" style="3" bestFit="1" customWidth="1"/>
    <col min="4" max="4" width="10.6640625" bestFit="1" customWidth="1"/>
    <col min="5" max="5" width="12" bestFit="1" customWidth="1"/>
    <col min="6" max="6" width="17.33203125" bestFit="1" customWidth="1"/>
    <col min="7" max="7" width="17" bestFit="1" customWidth="1"/>
    <col min="8" max="8" width="23.109375" bestFit="1" customWidth="1"/>
    <col min="9" max="9" width="17.88671875" style="4" bestFit="1" customWidth="1"/>
    <col min="10" max="10" width="18.88671875" bestFit="1" customWidth="1"/>
    <col min="11" max="11" width="18.33203125" bestFit="1" customWidth="1"/>
    <col min="12" max="12" width="19.6640625" bestFit="1" customWidth="1"/>
    <col min="13" max="13" width="17.109375" bestFit="1" customWidth="1"/>
    <col min="14" max="14" width="27.88671875" style="1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 x14ac:dyDescent="0.3">
      <c r="A2" s="3" t="s">
        <v>14</v>
      </c>
      <c r="B2" s="3" t="s">
        <v>15</v>
      </c>
      <c r="C2" s="3" t="s">
        <v>16</v>
      </c>
      <c r="D2" t="s">
        <v>17</v>
      </c>
      <c r="E2" t="s">
        <v>17</v>
      </c>
      <c r="F2" t="s">
        <v>18</v>
      </c>
      <c r="G2" t="s">
        <v>19</v>
      </c>
      <c r="H2" t="s">
        <v>20</v>
      </c>
      <c r="I2" s="4">
        <v>3.46</v>
      </c>
      <c r="J2" t="s">
        <v>21</v>
      </c>
      <c r="K2" t="s">
        <v>22</v>
      </c>
      <c r="L2" t="s">
        <v>23</v>
      </c>
      <c r="M2" t="s">
        <v>24</v>
      </c>
    </row>
    <row r="3" spans="1:14" x14ac:dyDescent="0.3">
      <c r="A3" s="3" t="s">
        <v>25</v>
      </c>
      <c r="B3" s="3" t="s">
        <v>26</v>
      </c>
      <c r="C3" s="3" t="s">
        <v>16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s="4">
        <v>3.22</v>
      </c>
      <c r="J3" t="s">
        <v>21</v>
      </c>
      <c r="K3" t="s">
        <v>22</v>
      </c>
      <c r="L3" t="s">
        <v>23</v>
      </c>
      <c r="M3" t="s">
        <v>32</v>
      </c>
    </row>
    <row r="4" spans="1:14" x14ac:dyDescent="0.3">
      <c r="A4" s="3" t="s">
        <v>33</v>
      </c>
      <c r="B4" s="3" t="s">
        <v>34</v>
      </c>
      <c r="C4" s="3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s="4">
        <v>1.42</v>
      </c>
      <c r="J4" t="s">
        <v>41</v>
      </c>
      <c r="K4" t="s">
        <v>42</v>
      </c>
      <c r="L4" t="s">
        <v>23</v>
      </c>
      <c r="M4" t="s">
        <v>43</v>
      </c>
    </row>
    <row r="5" spans="1:14" x14ac:dyDescent="0.3">
      <c r="A5" s="3" t="s">
        <v>44</v>
      </c>
      <c r="B5" s="3" t="s">
        <v>34</v>
      </c>
      <c r="C5" s="3" t="s">
        <v>35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s="4">
        <v>1.47</v>
      </c>
      <c r="J5" t="s">
        <v>50</v>
      </c>
      <c r="K5" t="s">
        <v>22</v>
      </c>
      <c r="L5" t="s">
        <v>23</v>
      </c>
      <c r="M5" t="s">
        <v>24</v>
      </c>
    </row>
    <row r="6" spans="1:14" x14ac:dyDescent="0.3">
      <c r="A6" s="3" t="s">
        <v>51</v>
      </c>
      <c r="B6" s="3" t="s">
        <v>52</v>
      </c>
      <c r="C6" s="3" t="s">
        <v>35</v>
      </c>
      <c r="D6" t="s">
        <v>36</v>
      </c>
      <c r="E6" t="s">
        <v>53</v>
      </c>
      <c r="F6" t="s">
        <v>54</v>
      </c>
      <c r="G6" t="s">
        <v>55</v>
      </c>
      <c r="H6" t="s">
        <v>56</v>
      </c>
      <c r="I6" s="4">
        <v>1.04</v>
      </c>
      <c r="J6" t="s">
        <v>41</v>
      </c>
      <c r="K6" t="s">
        <v>57</v>
      </c>
      <c r="L6" t="s">
        <v>23</v>
      </c>
      <c r="M6" t="s">
        <v>43</v>
      </c>
    </row>
    <row r="7" spans="1:14" x14ac:dyDescent="0.3">
      <c r="A7" s="3" t="s">
        <v>58</v>
      </c>
      <c r="B7" s="3" t="s">
        <v>59</v>
      </c>
      <c r="C7" s="3" t="s">
        <v>16</v>
      </c>
      <c r="D7" t="s">
        <v>17</v>
      </c>
      <c r="E7" t="s">
        <v>17</v>
      </c>
      <c r="F7" t="s">
        <v>18</v>
      </c>
      <c r="G7" t="s">
        <v>60</v>
      </c>
      <c r="H7" t="s">
        <v>61</v>
      </c>
      <c r="I7" s="4">
        <v>3.62</v>
      </c>
      <c r="J7" t="s">
        <v>50</v>
      </c>
      <c r="K7" t="s">
        <v>22</v>
      </c>
      <c r="L7" t="s">
        <v>23</v>
      </c>
      <c r="M7" t="s">
        <v>24</v>
      </c>
    </row>
    <row r="8" spans="1:14" x14ac:dyDescent="0.3">
      <c r="A8" s="3" t="s">
        <v>62</v>
      </c>
      <c r="B8" s="3" t="s">
        <v>63</v>
      </c>
      <c r="C8" s="3" t="s">
        <v>35</v>
      </c>
      <c r="D8" t="s">
        <v>36</v>
      </c>
      <c r="E8" t="s">
        <v>53</v>
      </c>
      <c r="F8" t="s">
        <v>54</v>
      </c>
      <c r="G8" t="s">
        <v>64</v>
      </c>
      <c r="H8" t="s">
        <v>65</v>
      </c>
      <c r="I8" s="4">
        <v>3.07</v>
      </c>
      <c r="J8" t="s">
        <v>50</v>
      </c>
      <c r="K8" t="s">
        <v>22</v>
      </c>
      <c r="L8" t="s">
        <v>23</v>
      </c>
      <c r="M8" t="s">
        <v>24</v>
      </c>
    </row>
    <row r="9" spans="1:14" x14ac:dyDescent="0.3">
      <c r="A9" s="3" t="s">
        <v>66</v>
      </c>
      <c r="B9" s="3" t="s">
        <v>67</v>
      </c>
      <c r="C9" s="3" t="s">
        <v>16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s="4">
        <v>3.95</v>
      </c>
      <c r="J9" t="s">
        <v>73</v>
      </c>
      <c r="K9" t="s">
        <v>57</v>
      </c>
      <c r="L9" t="s">
        <v>23</v>
      </c>
      <c r="M9" t="s">
        <v>43</v>
      </c>
    </row>
    <row r="10" spans="1:14" x14ac:dyDescent="0.3">
      <c r="A10" s="3" t="s">
        <v>74</v>
      </c>
      <c r="B10" s="3" t="s">
        <v>59</v>
      </c>
      <c r="C10" s="3" t="s">
        <v>16</v>
      </c>
      <c r="D10" t="s">
        <v>75</v>
      </c>
      <c r="E10" t="s">
        <v>76</v>
      </c>
      <c r="F10" t="s">
        <v>76</v>
      </c>
      <c r="G10" t="s">
        <v>77</v>
      </c>
      <c r="H10" t="s">
        <v>78</v>
      </c>
      <c r="I10" s="4">
        <v>2.36</v>
      </c>
      <c r="J10" t="s">
        <v>21</v>
      </c>
      <c r="K10" t="s">
        <v>22</v>
      </c>
      <c r="L10" t="s">
        <v>23</v>
      </c>
      <c r="M10" t="s">
        <v>32</v>
      </c>
    </row>
    <row r="11" spans="1:14" x14ac:dyDescent="0.3">
      <c r="A11" s="3" t="s">
        <v>79</v>
      </c>
      <c r="B11" s="3" t="s">
        <v>80</v>
      </c>
      <c r="C11" s="3" t="s">
        <v>16</v>
      </c>
      <c r="D11" t="s">
        <v>17</v>
      </c>
      <c r="E11" t="s">
        <v>81</v>
      </c>
      <c r="F11" t="s">
        <v>82</v>
      </c>
      <c r="G11" t="s">
        <v>83</v>
      </c>
      <c r="H11" t="s">
        <v>84</v>
      </c>
      <c r="I11" s="4">
        <v>3.02</v>
      </c>
      <c r="J11" t="s">
        <v>41</v>
      </c>
      <c r="K11" t="s">
        <v>42</v>
      </c>
      <c r="L11" t="s">
        <v>23</v>
      </c>
      <c r="M11" t="s">
        <v>85</v>
      </c>
    </row>
    <row r="12" spans="1:14" x14ac:dyDescent="0.3">
      <c r="A12" s="3" t="s">
        <v>86</v>
      </c>
      <c r="B12" s="3" t="s">
        <v>87</v>
      </c>
      <c r="C12" s="3" t="s">
        <v>35</v>
      </c>
      <c r="D12" t="s">
        <v>88</v>
      </c>
      <c r="E12" t="s">
        <v>89</v>
      </c>
      <c r="F12" t="s">
        <v>89</v>
      </c>
      <c r="G12" t="s">
        <v>90</v>
      </c>
      <c r="H12" t="s">
        <v>91</v>
      </c>
      <c r="I12" s="4">
        <v>4.28</v>
      </c>
      <c r="J12" t="s">
        <v>21</v>
      </c>
      <c r="K12" t="s">
        <v>22</v>
      </c>
      <c r="L12" t="s">
        <v>23</v>
      </c>
      <c r="M12" t="s">
        <v>32</v>
      </c>
    </row>
    <row r="13" spans="1:14" x14ac:dyDescent="0.3">
      <c r="A13" s="3" t="s">
        <v>92</v>
      </c>
      <c r="B13" s="3" t="s">
        <v>59</v>
      </c>
      <c r="C13" s="3" t="s">
        <v>16</v>
      </c>
      <c r="D13" t="s">
        <v>27</v>
      </c>
      <c r="E13" t="s">
        <v>93</v>
      </c>
      <c r="F13" t="s">
        <v>94</v>
      </c>
      <c r="G13" t="s">
        <v>95</v>
      </c>
      <c r="H13" t="s">
        <v>96</v>
      </c>
      <c r="I13" s="4">
        <v>4.83</v>
      </c>
      <c r="J13" t="s">
        <v>41</v>
      </c>
      <c r="K13" t="s">
        <v>57</v>
      </c>
      <c r="L13" t="s">
        <v>23</v>
      </c>
      <c r="M13" t="s">
        <v>85</v>
      </c>
    </row>
    <row r="14" spans="1:14" x14ac:dyDescent="0.3">
      <c r="A14" s="3" t="s">
        <v>97</v>
      </c>
      <c r="B14" s="3" t="s">
        <v>52</v>
      </c>
      <c r="C14" s="3" t="s">
        <v>35</v>
      </c>
      <c r="D14" t="s">
        <v>45</v>
      </c>
      <c r="E14" t="s">
        <v>45</v>
      </c>
      <c r="F14" t="s">
        <v>98</v>
      </c>
      <c r="G14" t="s">
        <v>99</v>
      </c>
      <c r="H14" t="s">
        <v>100</v>
      </c>
      <c r="I14" s="4">
        <v>1.47</v>
      </c>
      <c r="J14" t="s">
        <v>21</v>
      </c>
      <c r="K14" t="s">
        <v>101</v>
      </c>
      <c r="L14" t="s">
        <v>23</v>
      </c>
      <c r="M14" t="s">
        <v>24</v>
      </c>
    </row>
    <row r="15" spans="1:14" x14ac:dyDescent="0.3">
      <c r="A15" s="3" t="s">
        <v>102</v>
      </c>
      <c r="B15" s="3" t="s">
        <v>103</v>
      </c>
      <c r="C15" s="3" t="s">
        <v>16</v>
      </c>
      <c r="D15" t="s">
        <v>104</v>
      </c>
      <c r="E15" t="s">
        <v>105</v>
      </c>
      <c r="F15" t="s">
        <v>105</v>
      </c>
      <c r="G15" t="s">
        <v>106</v>
      </c>
      <c r="H15" t="s">
        <v>107</v>
      </c>
      <c r="I15" s="4">
        <v>2.71</v>
      </c>
      <c r="J15" t="s">
        <v>73</v>
      </c>
      <c r="K15" t="s">
        <v>101</v>
      </c>
      <c r="L15" t="s">
        <v>23</v>
      </c>
      <c r="M15" t="s">
        <v>32</v>
      </c>
    </row>
    <row r="16" spans="1:14" x14ac:dyDescent="0.3">
      <c r="A16" s="3" t="s">
        <v>108</v>
      </c>
      <c r="B16" s="3" t="s">
        <v>52</v>
      </c>
      <c r="C16" s="3" t="s">
        <v>35</v>
      </c>
      <c r="D16" t="s">
        <v>88</v>
      </c>
      <c r="E16" t="s">
        <v>88</v>
      </c>
      <c r="F16" t="s">
        <v>109</v>
      </c>
      <c r="G16" t="s">
        <v>110</v>
      </c>
      <c r="H16" t="s">
        <v>111</v>
      </c>
      <c r="I16" s="4">
        <v>4.3899999999999997</v>
      </c>
      <c r="J16" t="s">
        <v>50</v>
      </c>
      <c r="K16" t="s">
        <v>22</v>
      </c>
      <c r="L16" t="s">
        <v>23</v>
      </c>
      <c r="M16" t="s">
        <v>24</v>
      </c>
    </row>
    <row r="17" spans="1:14" x14ac:dyDescent="0.3">
      <c r="A17" s="3" t="s">
        <v>112</v>
      </c>
      <c r="B17" s="3" t="s">
        <v>113</v>
      </c>
      <c r="C17" s="3" t="s">
        <v>35</v>
      </c>
      <c r="D17" t="s">
        <v>114</v>
      </c>
      <c r="E17" t="s">
        <v>115</v>
      </c>
      <c r="F17" t="s">
        <v>116</v>
      </c>
      <c r="G17" t="s">
        <v>117</v>
      </c>
      <c r="H17" t="s">
        <v>118</v>
      </c>
      <c r="I17" s="4">
        <v>4.74</v>
      </c>
      <c r="J17" t="s">
        <v>41</v>
      </c>
      <c r="K17" t="s">
        <v>42</v>
      </c>
      <c r="L17" t="s">
        <v>119</v>
      </c>
      <c r="M17" t="s">
        <v>43</v>
      </c>
    </row>
    <row r="18" spans="1:14" x14ac:dyDescent="0.3">
      <c r="A18" s="3" t="s">
        <v>120</v>
      </c>
      <c r="B18" s="3" t="s">
        <v>103</v>
      </c>
      <c r="C18" s="3" t="s">
        <v>16</v>
      </c>
      <c r="D18" t="s">
        <v>27</v>
      </c>
      <c r="E18" t="s">
        <v>27</v>
      </c>
      <c r="F18" t="s">
        <v>29</v>
      </c>
      <c r="G18" t="s">
        <v>121</v>
      </c>
      <c r="H18" t="s">
        <v>122</v>
      </c>
      <c r="I18" s="4">
        <v>4.5999999999999996</v>
      </c>
      <c r="J18" t="s">
        <v>41</v>
      </c>
      <c r="K18" t="s">
        <v>57</v>
      </c>
      <c r="L18" t="s">
        <v>23</v>
      </c>
      <c r="M18" t="s">
        <v>85</v>
      </c>
    </row>
    <row r="19" spans="1:14" x14ac:dyDescent="0.3">
      <c r="A19" s="3" t="s">
        <v>123</v>
      </c>
      <c r="B19" s="3" t="s">
        <v>124</v>
      </c>
      <c r="C19" s="3" t="s">
        <v>16</v>
      </c>
      <c r="D19" t="s">
        <v>27</v>
      </c>
      <c r="E19" t="s">
        <v>28</v>
      </c>
      <c r="F19" t="s">
        <v>28</v>
      </c>
      <c r="G19" t="s">
        <v>125</v>
      </c>
      <c r="H19" t="s">
        <v>126</v>
      </c>
      <c r="I19" s="4">
        <v>0.62</v>
      </c>
      <c r="J19" t="s">
        <v>21</v>
      </c>
      <c r="K19" t="s">
        <v>101</v>
      </c>
      <c r="L19" t="s">
        <v>23</v>
      </c>
      <c r="M19" t="s">
        <v>24</v>
      </c>
    </row>
    <row r="20" spans="1:14" x14ac:dyDescent="0.3">
      <c r="A20" s="3" t="s">
        <v>127</v>
      </c>
      <c r="B20" s="3" t="s">
        <v>103</v>
      </c>
      <c r="C20" s="3" t="s">
        <v>16</v>
      </c>
      <c r="D20" t="s">
        <v>75</v>
      </c>
      <c r="E20" t="s">
        <v>75</v>
      </c>
      <c r="F20" t="s">
        <v>75</v>
      </c>
      <c r="G20" t="s">
        <v>128</v>
      </c>
      <c r="H20" t="s">
        <v>129</v>
      </c>
      <c r="I20" s="4">
        <v>4.3099999999999996</v>
      </c>
      <c r="J20" t="s">
        <v>73</v>
      </c>
      <c r="K20" t="s">
        <v>101</v>
      </c>
      <c r="L20" t="s">
        <v>23</v>
      </c>
      <c r="M20" t="s">
        <v>43</v>
      </c>
    </row>
    <row r="21" spans="1:14" x14ac:dyDescent="0.3">
      <c r="A21" s="3" t="s">
        <v>130</v>
      </c>
      <c r="B21" s="3" t="s">
        <v>131</v>
      </c>
      <c r="C21" s="3" t="s">
        <v>35</v>
      </c>
      <c r="D21" t="s">
        <v>88</v>
      </c>
      <c r="E21" t="s">
        <v>89</v>
      </c>
      <c r="F21" t="s">
        <v>94</v>
      </c>
      <c r="G21" t="s">
        <v>132</v>
      </c>
      <c r="H21" t="s">
        <v>133</v>
      </c>
      <c r="I21" s="4">
        <v>3.63</v>
      </c>
      <c r="J21" t="s">
        <v>41</v>
      </c>
      <c r="K21" t="s">
        <v>42</v>
      </c>
      <c r="L21" t="s">
        <v>119</v>
      </c>
      <c r="M21" t="s">
        <v>85</v>
      </c>
      <c r="N21" s="1">
        <v>45136</v>
      </c>
    </row>
    <row r="22" spans="1:14" x14ac:dyDescent="0.3">
      <c r="A22" s="3" t="s">
        <v>134</v>
      </c>
      <c r="B22" s="3" t="s">
        <v>59</v>
      </c>
      <c r="C22" s="3" t="s">
        <v>16</v>
      </c>
      <c r="D22" t="s">
        <v>17</v>
      </c>
      <c r="E22" t="s">
        <v>17</v>
      </c>
      <c r="F22" t="s">
        <v>18</v>
      </c>
      <c r="G22" t="s">
        <v>135</v>
      </c>
      <c r="H22" t="s">
        <v>136</v>
      </c>
      <c r="I22" s="4">
        <v>0.61</v>
      </c>
      <c r="J22" t="s">
        <v>41</v>
      </c>
      <c r="K22" t="s">
        <v>42</v>
      </c>
      <c r="L22" t="s">
        <v>119</v>
      </c>
      <c r="M22" t="s">
        <v>43</v>
      </c>
    </row>
    <row r="23" spans="1:14" x14ac:dyDescent="0.3">
      <c r="A23" s="3" t="s">
        <v>137</v>
      </c>
      <c r="B23" s="3" t="s">
        <v>87</v>
      </c>
      <c r="C23" s="3" t="s">
        <v>35</v>
      </c>
      <c r="D23" t="s">
        <v>45</v>
      </c>
      <c r="E23" t="s">
        <v>138</v>
      </c>
      <c r="F23" t="s">
        <v>139</v>
      </c>
      <c r="G23" t="s">
        <v>140</v>
      </c>
      <c r="H23" t="s">
        <v>141</v>
      </c>
      <c r="I23" s="4">
        <v>1.4</v>
      </c>
      <c r="J23" t="s">
        <v>21</v>
      </c>
      <c r="K23" t="s">
        <v>22</v>
      </c>
      <c r="L23" t="s">
        <v>23</v>
      </c>
      <c r="M23" t="s">
        <v>32</v>
      </c>
    </row>
    <row r="24" spans="1:14" x14ac:dyDescent="0.3">
      <c r="A24" s="3" t="s">
        <v>142</v>
      </c>
      <c r="B24" s="3" t="s">
        <v>52</v>
      </c>
      <c r="C24" s="3" t="s">
        <v>35</v>
      </c>
      <c r="D24" t="s">
        <v>36</v>
      </c>
      <c r="E24" t="s">
        <v>37</v>
      </c>
      <c r="F24" t="s">
        <v>143</v>
      </c>
      <c r="G24" t="s">
        <v>144</v>
      </c>
      <c r="H24" t="s">
        <v>145</v>
      </c>
      <c r="I24" s="4">
        <v>4.4000000000000004</v>
      </c>
      <c r="J24" t="s">
        <v>73</v>
      </c>
      <c r="K24" t="s">
        <v>42</v>
      </c>
      <c r="L24" t="s">
        <v>23</v>
      </c>
      <c r="M24" t="s">
        <v>32</v>
      </c>
    </row>
    <row r="25" spans="1:14" x14ac:dyDescent="0.3">
      <c r="A25" s="3" t="s">
        <v>146</v>
      </c>
      <c r="B25" s="3" t="s">
        <v>52</v>
      </c>
      <c r="C25" s="3" t="s">
        <v>35</v>
      </c>
      <c r="D25" t="s">
        <v>45</v>
      </c>
      <c r="E25" t="s">
        <v>45</v>
      </c>
      <c r="F25" t="s">
        <v>98</v>
      </c>
      <c r="G25" t="s">
        <v>147</v>
      </c>
      <c r="H25" t="s">
        <v>148</v>
      </c>
      <c r="I25" s="4">
        <v>4.4000000000000004</v>
      </c>
      <c r="J25" t="s">
        <v>21</v>
      </c>
      <c r="K25" t="s">
        <v>22</v>
      </c>
      <c r="L25" t="s">
        <v>23</v>
      </c>
      <c r="M25" t="s">
        <v>32</v>
      </c>
    </row>
    <row r="26" spans="1:14" x14ac:dyDescent="0.3">
      <c r="A26" s="3" t="s">
        <v>149</v>
      </c>
      <c r="B26" s="3" t="s">
        <v>63</v>
      </c>
      <c r="C26" s="3" t="s">
        <v>35</v>
      </c>
      <c r="D26" t="s">
        <v>114</v>
      </c>
      <c r="E26" t="s">
        <v>150</v>
      </c>
      <c r="F26" t="s">
        <v>151</v>
      </c>
      <c r="G26" t="s">
        <v>152</v>
      </c>
      <c r="H26" t="s">
        <v>153</v>
      </c>
      <c r="I26" s="4">
        <v>3.03</v>
      </c>
      <c r="J26" t="s">
        <v>41</v>
      </c>
      <c r="K26" t="s">
        <v>42</v>
      </c>
      <c r="L26" t="s">
        <v>119</v>
      </c>
      <c r="M26" t="s">
        <v>85</v>
      </c>
      <c r="N26" s="1">
        <v>44575</v>
      </c>
    </row>
    <row r="27" spans="1:14" x14ac:dyDescent="0.3">
      <c r="A27" s="3" t="s">
        <v>154</v>
      </c>
      <c r="B27" s="3" t="s">
        <v>52</v>
      </c>
      <c r="C27" s="3" t="s">
        <v>35</v>
      </c>
      <c r="D27" t="s">
        <v>45</v>
      </c>
      <c r="E27" t="s">
        <v>138</v>
      </c>
      <c r="F27" t="s">
        <v>138</v>
      </c>
      <c r="G27" t="s">
        <v>155</v>
      </c>
      <c r="H27" t="s">
        <v>156</v>
      </c>
      <c r="I27" s="4">
        <v>4.2</v>
      </c>
      <c r="J27" t="s">
        <v>73</v>
      </c>
      <c r="K27" t="s">
        <v>101</v>
      </c>
      <c r="L27" t="s">
        <v>23</v>
      </c>
      <c r="M27" t="s">
        <v>32</v>
      </c>
    </row>
    <row r="28" spans="1:14" x14ac:dyDescent="0.3">
      <c r="A28" s="3" t="s">
        <v>157</v>
      </c>
      <c r="B28" s="3" t="s">
        <v>158</v>
      </c>
      <c r="C28" s="3" t="s">
        <v>16</v>
      </c>
      <c r="D28" t="s">
        <v>17</v>
      </c>
      <c r="E28" t="s">
        <v>81</v>
      </c>
      <c r="F28" t="s">
        <v>159</v>
      </c>
      <c r="G28" t="s">
        <v>160</v>
      </c>
      <c r="H28" t="s">
        <v>161</v>
      </c>
      <c r="I28" s="4">
        <v>3.44</v>
      </c>
      <c r="J28" t="s">
        <v>50</v>
      </c>
      <c r="K28" t="s">
        <v>22</v>
      </c>
      <c r="L28" t="s">
        <v>23</v>
      </c>
      <c r="M28" t="s">
        <v>24</v>
      </c>
    </row>
    <row r="29" spans="1:14" x14ac:dyDescent="0.3">
      <c r="A29" s="3" t="s">
        <v>162</v>
      </c>
      <c r="B29" s="3" t="s">
        <v>26</v>
      </c>
      <c r="C29" s="3" t="s">
        <v>16</v>
      </c>
      <c r="D29" t="s">
        <v>27</v>
      </c>
      <c r="E29" t="s">
        <v>28</v>
      </c>
      <c r="F29" t="s">
        <v>163</v>
      </c>
      <c r="G29" t="s">
        <v>164</v>
      </c>
      <c r="H29" t="s">
        <v>165</v>
      </c>
      <c r="I29" s="4">
        <v>4.04</v>
      </c>
      <c r="J29" t="s">
        <v>50</v>
      </c>
      <c r="K29" t="s">
        <v>22</v>
      </c>
      <c r="L29" t="s">
        <v>23</v>
      </c>
      <c r="M29" t="s">
        <v>24</v>
      </c>
    </row>
    <row r="30" spans="1:14" x14ac:dyDescent="0.3">
      <c r="A30" s="3" t="s">
        <v>166</v>
      </c>
      <c r="B30" s="3" t="s">
        <v>34</v>
      </c>
      <c r="C30" s="3" t="s">
        <v>35</v>
      </c>
      <c r="D30" t="s">
        <v>167</v>
      </c>
      <c r="E30" t="s">
        <v>168</v>
      </c>
      <c r="F30" t="s">
        <v>168</v>
      </c>
      <c r="G30" t="s">
        <v>169</v>
      </c>
      <c r="H30" t="s">
        <v>170</v>
      </c>
      <c r="I30" s="4">
        <v>4.0199999999999996</v>
      </c>
      <c r="J30" t="s">
        <v>73</v>
      </c>
      <c r="K30" t="s">
        <v>42</v>
      </c>
      <c r="L30" t="s">
        <v>23</v>
      </c>
      <c r="M30" t="s">
        <v>43</v>
      </c>
    </row>
    <row r="31" spans="1:14" x14ac:dyDescent="0.3">
      <c r="A31" s="3" t="s">
        <v>171</v>
      </c>
      <c r="B31" s="3" t="s">
        <v>26</v>
      </c>
      <c r="C31" s="3" t="s">
        <v>16</v>
      </c>
      <c r="D31" t="s">
        <v>17</v>
      </c>
      <c r="E31" t="s">
        <v>81</v>
      </c>
      <c r="F31" t="s">
        <v>159</v>
      </c>
      <c r="G31" t="s">
        <v>172</v>
      </c>
      <c r="H31" t="s">
        <v>173</v>
      </c>
      <c r="I31" s="4">
        <v>1.32</v>
      </c>
      <c r="J31" t="s">
        <v>50</v>
      </c>
      <c r="K31" t="s">
        <v>22</v>
      </c>
      <c r="L31" t="s">
        <v>23</v>
      </c>
      <c r="M31" t="s">
        <v>24</v>
      </c>
    </row>
    <row r="32" spans="1:14" x14ac:dyDescent="0.3">
      <c r="A32" s="3" t="s">
        <v>174</v>
      </c>
      <c r="B32" s="3" t="s">
        <v>63</v>
      </c>
      <c r="C32" s="3" t="s">
        <v>35</v>
      </c>
      <c r="D32" t="s">
        <v>36</v>
      </c>
      <c r="E32" t="s">
        <v>175</v>
      </c>
      <c r="F32" t="s">
        <v>176</v>
      </c>
      <c r="G32" t="s">
        <v>177</v>
      </c>
      <c r="H32" t="s">
        <v>178</v>
      </c>
      <c r="I32" s="4">
        <v>3.07</v>
      </c>
      <c r="J32" t="s">
        <v>73</v>
      </c>
      <c r="K32" t="s">
        <v>57</v>
      </c>
      <c r="L32" t="s">
        <v>23</v>
      </c>
      <c r="M32" t="s">
        <v>32</v>
      </c>
    </row>
    <row r="33" spans="1:14" x14ac:dyDescent="0.3">
      <c r="A33" s="3" t="s">
        <v>179</v>
      </c>
      <c r="B33" s="3" t="s">
        <v>63</v>
      </c>
      <c r="C33" s="3" t="s">
        <v>35</v>
      </c>
      <c r="D33" t="s">
        <v>88</v>
      </c>
      <c r="E33" t="s">
        <v>180</v>
      </c>
      <c r="F33" t="s">
        <v>181</v>
      </c>
      <c r="G33" t="s">
        <v>182</v>
      </c>
      <c r="H33" t="s">
        <v>183</v>
      </c>
      <c r="I33" s="4">
        <v>2.64</v>
      </c>
      <c r="J33" t="s">
        <v>21</v>
      </c>
      <c r="K33" t="s">
        <v>22</v>
      </c>
      <c r="L33" t="s">
        <v>23</v>
      </c>
      <c r="M33" t="s">
        <v>32</v>
      </c>
    </row>
    <row r="34" spans="1:14" x14ac:dyDescent="0.3">
      <c r="A34" s="3" t="s">
        <v>184</v>
      </c>
      <c r="B34" s="3" t="s">
        <v>113</v>
      </c>
      <c r="C34" s="3" t="s">
        <v>35</v>
      </c>
      <c r="D34" t="s">
        <v>45</v>
      </c>
      <c r="E34" t="s">
        <v>45</v>
      </c>
      <c r="F34" t="s">
        <v>98</v>
      </c>
      <c r="G34" t="s">
        <v>185</v>
      </c>
      <c r="H34" t="s">
        <v>186</v>
      </c>
      <c r="I34" s="4">
        <v>1.75</v>
      </c>
      <c r="J34" t="s">
        <v>50</v>
      </c>
      <c r="K34" t="s">
        <v>22</v>
      </c>
      <c r="L34" t="s">
        <v>23</v>
      </c>
      <c r="M34" t="s">
        <v>24</v>
      </c>
    </row>
    <row r="35" spans="1:14" x14ac:dyDescent="0.3">
      <c r="A35" s="3" t="s">
        <v>187</v>
      </c>
      <c r="B35" s="3" t="s">
        <v>103</v>
      </c>
      <c r="C35" s="3" t="s">
        <v>16</v>
      </c>
      <c r="D35" t="s">
        <v>188</v>
      </c>
      <c r="E35" t="s">
        <v>189</v>
      </c>
      <c r="F35" t="s">
        <v>190</v>
      </c>
      <c r="G35" t="s">
        <v>191</v>
      </c>
      <c r="H35" t="s">
        <v>192</v>
      </c>
      <c r="I35" s="4">
        <v>2.15</v>
      </c>
      <c r="J35" t="s">
        <v>73</v>
      </c>
      <c r="K35" t="s">
        <v>57</v>
      </c>
      <c r="L35" t="s">
        <v>23</v>
      </c>
      <c r="M35" t="s">
        <v>43</v>
      </c>
    </row>
    <row r="36" spans="1:14" x14ac:dyDescent="0.3">
      <c r="A36" s="3" t="s">
        <v>193</v>
      </c>
      <c r="B36" s="3" t="s">
        <v>194</v>
      </c>
      <c r="C36" s="3" t="s">
        <v>35</v>
      </c>
      <c r="D36" t="s">
        <v>36</v>
      </c>
      <c r="E36" t="s">
        <v>37</v>
      </c>
      <c r="F36" t="s">
        <v>195</v>
      </c>
      <c r="G36" t="s">
        <v>196</v>
      </c>
      <c r="H36" t="s">
        <v>197</v>
      </c>
      <c r="I36" s="4">
        <v>3.67</v>
      </c>
      <c r="J36" t="s">
        <v>41</v>
      </c>
      <c r="K36" t="s">
        <v>57</v>
      </c>
      <c r="L36" t="s">
        <v>119</v>
      </c>
      <c r="M36" t="s">
        <v>85</v>
      </c>
      <c r="N36" s="1">
        <v>45122</v>
      </c>
    </row>
    <row r="37" spans="1:14" x14ac:dyDescent="0.3">
      <c r="A37" s="3" t="s">
        <v>198</v>
      </c>
      <c r="B37" s="3" t="s">
        <v>87</v>
      </c>
      <c r="C37" s="3" t="s">
        <v>35</v>
      </c>
      <c r="D37" t="s">
        <v>45</v>
      </c>
      <c r="E37" t="s">
        <v>45</v>
      </c>
      <c r="F37" t="s">
        <v>45</v>
      </c>
      <c r="G37" t="s">
        <v>199</v>
      </c>
      <c r="H37" t="s">
        <v>200</v>
      </c>
      <c r="I37" s="4">
        <v>4.78</v>
      </c>
      <c r="J37" t="s">
        <v>21</v>
      </c>
      <c r="K37" t="s">
        <v>22</v>
      </c>
      <c r="L37" t="s">
        <v>23</v>
      </c>
      <c r="M37" t="s">
        <v>24</v>
      </c>
    </row>
    <row r="38" spans="1:14" x14ac:dyDescent="0.3">
      <c r="A38" s="3" t="s">
        <v>201</v>
      </c>
      <c r="B38" s="3" t="s">
        <v>103</v>
      </c>
      <c r="C38" s="3" t="s">
        <v>16</v>
      </c>
      <c r="D38" t="s">
        <v>27</v>
      </c>
      <c r="E38" t="s">
        <v>93</v>
      </c>
      <c r="F38" t="s">
        <v>202</v>
      </c>
      <c r="G38" t="s">
        <v>203</v>
      </c>
      <c r="H38" t="s">
        <v>204</v>
      </c>
      <c r="I38" s="4">
        <v>2.4900000000000002</v>
      </c>
      <c r="J38" t="s">
        <v>21</v>
      </c>
      <c r="K38" t="s">
        <v>22</v>
      </c>
      <c r="L38" t="s">
        <v>23</v>
      </c>
      <c r="M38" t="s">
        <v>24</v>
      </c>
    </row>
    <row r="39" spans="1:14" x14ac:dyDescent="0.3">
      <c r="A39" s="3" t="s">
        <v>205</v>
      </c>
      <c r="B39" s="3" t="s">
        <v>63</v>
      </c>
      <c r="C39" s="3" t="s">
        <v>35</v>
      </c>
      <c r="D39" t="s">
        <v>45</v>
      </c>
      <c r="E39" t="s">
        <v>45</v>
      </c>
      <c r="F39" t="s">
        <v>206</v>
      </c>
      <c r="G39" t="s">
        <v>207</v>
      </c>
      <c r="H39" t="s">
        <v>208</v>
      </c>
      <c r="I39" s="4">
        <v>2.99</v>
      </c>
      <c r="J39" t="s">
        <v>50</v>
      </c>
      <c r="K39" t="s">
        <v>22</v>
      </c>
      <c r="L39" t="s">
        <v>23</v>
      </c>
      <c r="M39" t="s">
        <v>24</v>
      </c>
    </row>
    <row r="40" spans="1:14" x14ac:dyDescent="0.3">
      <c r="A40" s="3" t="s">
        <v>209</v>
      </c>
      <c r="B40" s="3" t="s">
        <v>113</v>
      </c>
      <c r="C40" s="3" t="s">
        <v>35</v>
      </c>
      <c r="D40" t="s">
        <v>88</v>
      </c>
      <c r="E40" t="s">
        <v>89</v>
      </c>
      <c r="F40" t="s">
        <v>94</v>
      </c>
      <c r="G40" t="s">
        <v>210</v>
      </c>
      <c r="H40" t="s">
        <v>211</v>
      </c>
      <c r="I40" s="4">
        <v>0.99</v>
      </c>
      <c r="J40" t="s">
        <v>50</v>
      </c>
      <c r="K40" t="s">
        <v>22</v>
      </c>
      <c r="L40" t="s">
        <v>23</v>
      </c>
      <c r="M40" t="s">
        <v>24</v>
      </c>
    </row>
    <row r="41" spans="1:14" x14ac:dyDescent="0.3">
      <c r="A41" s="3" t="s">
        <v>212</v>
      </c>
      <c r="B41" s="3" t="s">
        <v>113</v>
      </c>
      <c r="C41" s="3" t="s">
        <v>35</v>
      </c>
      <c r="D41" t="s">
        <v>88</v>
      </c>
      <c r="E41" t="s">
        <v>88</v>
      </c>
      <c r="F41" t="s">
        <v>29</v>
      </c>
      <c r="G41" t="s">
        <v>213</v>
      </c>
      <c r="H41" t="s">
        <v>214</v>
      </c>
      <c r="I41" s="4">
        <v>2.76</v>
      </c>
      <c r="J41" t="s">
        <v>73</v>
      </c>
      <c r="K41" t="s">
        <v>101</v>
      </c>
      <c r="L41" t="s">
        <v>23</v>
      </c>
      <c r="M41" t="s">
        <v>43</v>
      </c>
    </row>
    <row r="42" spans="1:14" x14ac:dyDescent="0.3">
      <c r="A42" s="3" t="s">
        <v>215</v>
      </c>
      <c r="B42" s="3" t="s">
        <v>63</v>
      </c>
      <c r="C42" s="3" t="s">
        <v>35</v>
      </c>
      <c r="D42" t="s">
        <v>114</v>
      </c>
      <c r="E42" t="s">
        <v>115</v>
      </c>
      <c r="F42" t="s">
        <v>216</v>
      </c>
      <c r="G42" t="s">
        <v>217</v>
      </c>
      <c r="H42" t="s">
        <v>218</v>
      </c>
      <c r="I42" s="4">
        <v>4.97</v>
      </c>
      <c r="J42" t="s">
        <v>41</v>
      </c>
      <c r="K42" t="s">
        <v>42</v>
      </c>
      <c r="L42" t="s">
        <v>23</v>
      </c>
      <c r="M42" t="s">
        <v>43</v>
      </c>
    </row>
    <row r="43" spans="1:14" x14ac:dyDescent="0.3">
      <c r="A43" s="3" t="s">
        <v>219</v>
      </c>
      <c r="B43" s="3" t="s">
        <v>87</v>
      </c>
      <c r="C43" s="3" t="s">
        <v>35</v>
      </c>
      <c r="D43" t="s">
        <v>36</v>
      </c>
      <c r="E43" t="s">
        <v>175</v>
      </c>
      <c r="F43" t="s">
        <v>175</v>
      </c>
      <c r="G43" t="s">
        <v>220</v>
      </c>
      <c r="H43" t="s">
        <v>221</v>
      </c>
      <c r="I43" s="4">
        <v>3.62</v>
      </c>
      <c r="J43" t="s">
        <v>50</v>
      </c>
      <c r="K43" t="s">
        <v>22</v>
      </c>
      <c r="L43" t="s">
        <v>23</v>
      </c>
      <c r="M43" t="s">
        <v>24</v>
      </c>
    </row>
    <row r="44" spans="1:14" x14ac:dyDescent="0.3">
      <c r="A44" s="3" t="s">
        <v>222</v>
      </c>
      <c r="B44" s="3" t="s">
        <v>15</v>
      </c>
      <c r="C44" s="3" t="s">
        <v>16</v>
      </c>
      <c r="D44" t="s">
        <v>17</v>
      </c>
      <c r="E44" t="s">
        <v>81</v>
      </c>
      <c r="F44" t="s">
        <v>81</v>
      </c>
      <c r="G44" t="s">
        <v>223</v>
      </c>
      <c r="H44" t="s">
        <v>224</v>
      </c>
      <c r="I44" s="4">
        <v>3.6</v>
      </c>
      <c r="J44" t="s">
        <v>50</v>
      </c>
      <c r="K44" t="s">
        <v>22</v>
      </c>
      <c r="L44" t="s">
        <v>23</v>
      </c>
      <c r="M44" t="s">
        <v>24</v>
      </c>
    </row>
    <row r="45" spans="1:14" x14ac:dyDescent="0.3">
      <c r="A45" s="3" t="s">
        <v>225</v>
      </c>
      <c r="B45" s="3" t="s">
        <v>34</v>
      </c>
      <c r="C45" s="3" t="s">
        <v>35</v>
      </c>
      <c r="D45" t="s">
        <v>36</v>
      </c>
      <c r="E45" t="s">
        <v>37</v>
      </c>
      <c r="F45" t="s">
        <v>38</v>
      </c>
      <c r="G45" t="s">
        <v>226</v>
      </c>
      <c r="H45" t="s">
        <v>227</v>
      </c>
      <c r="I45" s="4">
        <v>4.5599999999999996</v>
      </c>
      <c r="J45" t="s">
        <v>21</v>
      </c>
      <c r="K45" t="s">
        <v>101</v>
      </c>
      <c r="L45" t="s">
        <v>23</v>
      </c>
      <c r="M45" t="s">
        <v>24</v>
      </c>
    </row>
    <row r="46" spans="1:14" x14ac:dyDescent="0.3">
      <c r="A46" s="3" t="s">
        <v>228</v>
      </c>
      <c r="B46" s="3" t="s">
        <v>87</v>
      </c>
      <c r="C46" s="3" t="s">
        <v>35</v>
      </c>
      <c r="D46" t="s">
        <v>114</v>
      </c>
      <c r="E46" t="s">
        <v>115</v>
      </c>
      <c r="F46" t="s">
        <v>229</v>
      </c>
      <c r="G46" t="s">
        <v>230</v>
      </c>
      <c r="H46" t="s">
        <v>231</v>
      </c>
      <c r="I46" s="4">
        <v>3.35</v>
      </c>
      <c r="J46" t="s">
        <v>50</v>
      </c>
      <c r="K46" t="s">
        <v>22</v>
      </c>
      <c r="L46" t="s">
        <v>23</v>
      </c>
      <c r="M46" t="s">
        <v>24</v>
      </c>
    </row>
    <row r="47" spans="1:14" x14ac:dyDescent="0.3">
      <c r="A47" s="3" t="s">
        <v>232</v>
      </c>
      <c r="B47" s="3" t="s">
        <v>67</v>
      </c>
      <c r="C47" s="3" t="s">
        <v>16</v>
      </c>
      <c r="D47" t="s">
        <v>75</v>
      </c>
      <c r="E47" t="s">
        <v>75</v>
      </c>
      <c r="F47" t="s">
        <v>233</v>
      </c>
      <c r="G47" t="s">
        <v>234</v>
      </c>
      <c r="H47" t="s">
        <v>235</v>
      </c>
      <c r="I47" s="4">
        <v>1.91</v>
      </c>
      <c r="J47" t="s">
        <v>21</v>
      </c>
      <c r="K47" t="s">
        <v>101</v>
      </c>
      <c r="L47" t="s">
        <v>23</v>
      </c>
      <c r="M47" t="s">
        <v>24</v>
      </c>
    </row>
    <row r="48" spans="1:14" x14ac:dyDescent="0.3">
      <c r="A48" s="3" t="s">
        <v>236</v>
      </c>
      <c r="B48" s="3" t="s">
        <v>87</v>
      </c>
      <c r="C48" s="3" t="s">
        <v>35</v>
      </c>
      <c r="D48" t="s">
        <v>45</v>
      </c>
      <c r="E48" t="s">
        <v>138</v>
      </c>
      <c r="F48" t="s">
        <v>139</v>
      </c>
      <c r="G48" t="s">
        <v>237</v>
      </c>
      <c r="H48" t="s">
        <v>238</v>
      </c>
      <c r="I48" s="4">
        <v>3.15</v>
      </c>
      <c r="J48" t="s">
        <v>21</v>
      </c>
      <c r="K48" t="s">
        <v>101</v>
      </c>
      <c r="L48" t="s">
        <v>23</v>
      </c>
      <c r="M48" t="s">
        <v>24</v>
      </c>
    </row>
    <row r="49" spans="1:14" x14ac:dyDescent="0.3">
      <c r="A49" s="3" t="s">
        <v>239</v>
      </c>
      <c r="B49" s="3" t="s">
        <v>34</v>
      </c>
      <c r="C49" s="3" t="s">
        <v>35</v>
      </c>
      <c r="D49" t="s">
        <v>45</v>
      </c>
      <c r="E49" t="s">
        <v>138</v>
      </c>
      <c r="F49" t="s">
        <v>240</v>
      </c>
      <c r="G49" t="s">
        <v>241</v>
      </c>
      <c r="H49" t="s">
        <v>242</v>
      </c>
      <c r="I49" s="4">
        <v>4.49</v>
      </c>
      <c r="J49" t="s">
        <v>41</v>
      </c>
      <c r="K49" t="s">
        <v>42</v>
      </c>
      <c r="L49" t="s">
        <v>23</v>
      </c>
      <c r="M49" t="s">
        <v>43</v>
      </c>
    </row>
    <row r="50" spans="1:14" x14ac:dyDescent="0.3">
      <c r="A50" s="3" t="s">
        <v>243</v>
      </c>
      <c r="B50" s="3" t="s">
        <v>63</v>
      </c>
      <c r="C50" s="3" t="s">
        <v>35</v>
      </c>
      <c r="D50" t="s">
        <v>88</v>
      </c>
      <c r="E50" t="s">
        <v>88</v>
      </c>
      <c r="F50" t="s">
        <v>244</v>
      </c>
      <c r="G50" t="s">
        <v>245</v>
      </c>
      <c r="H50" t="s">
        <v>246</v>
      </c>
      <c r="I50" s="4">
        <v>4.97</v>
      </c>
      <c r="J50" t="s">
        <v>21</v>
      </c>
      <c r="K50" t="s">
        <v>101</v>
      </c>
      <c r="L50" t="s">
        <v>23</v>
      </c>
      <c r="M50" t="s">
        <v>32</v>
      </c>
    </row>
    <row r="51" spans="1:14" x14ac:dyDescent="0.3">
      <c r="A51" s="3" t="s">
        <v>247</v>
      </c>
      <c r="B51" s="3" t="s">
        <v>113</v>
      </c>
      <c r="C51" s="3" t="s">
        <v>35</v>
      </c>
      <c r="D51" t="s">
        <v>88</v>
      </c>
      <c r="E51" t="s">
        <v>88</v>
      </c>
      <c r="F51" t="s">
        <v>109</v>
      </c>
      <c r="G51" t="s">
        <v>248</v>
      </c>
      <c r="H51" t="s">
        <v>249</v>
      </c>
      <c r="I51" s="4">
        <v>2.2799999999999998</v>
      </c>
      <c r="J51" t="s">
        <v>50</v>
      </c>
      <c r="K51" t="s">
        <v>22</v>
      </c>
      <c r="L51" t="s">
        <v>23</v>
      </c>
      <c r="M51" t="s">
        <v>24</v>
      </c>
    </row>
    <row r="52" spans="1:14" x14ac:dyDescent="0.3">
      <c r="A52" s="3" t="s">
        <v>250</v>
      </c>
      <c r="B52" s="3" t="s">
        <v>26</v>
      </c>
      <c r="C52" s="3" t="s">
        <v>16</v>
      </c>
      <c r="D52" t="s">
        <v>75</v>
      </c>
      <c r="E52" t="s">
        <v>251</v>
      </c>
      <c r="F52" t="s">
        <v>252</v>
      </c>
      <c r="G52" t="s">
        <v>253</v>
      </c>
      <c r="H52" t="s">
        <v>254</v>
      </c>
      <c r="I52" s="4">
        <v>2.85</v>
      </c>
      <c r="J52" t="s">
        <v>21</v>
      </c>
      <c r="K52" t="s">
        <v>101</v>
      </c>
      <c r="L52" t="s">
        <v>23</v>
      </c>
      <c r="M52" t="s">
        <v>32</v>
      </c>
    </row>
    <row r="53" spans="1:14" x14ac:dyDescent="0.3">
      <c r="A53" s="3" t="s">
        <v>255</v>
      </c>
      <c r="B53" s="3" t="s">
        <v>87</v>
      </c>
      <c r="C53" s="3" t="s">
        <v>35</v>
      </c>
      <c r="D53" t="s">
        <v>88</v>
      </c>
      <c r="E53" t="s">
        <v>88</v>
      </c>
      <c r="F53" t="s">
        <v>109</v>
      </c>
      <c r="G53" t="s">
        <v>256</v>
      </c>
      <c r="H53" t="s">
        <v>257</v>
      </c>
      <c r="I53" s="4">
        <v>1.88</v>
      </c>
      <c r="J53" t="s">
        <v>50</v>
      </c>
      <c r="K53" t="s">
        <v>22</v>
      </c>
      <c r="L53" t="s">
        <v>23</v>
      </c>
      <c r="M53" t="s">
        <v>24</v>
      </c>
    </row>
    <row r="54" spans="1:14" x14ac:dyDescent="0.3">
      <c r="A54" s="3" t="s">
        <v>258</v>
      </c>
      <c r="B54" s="3" t="s">
        <v>124</v>
      </c>
      <c r="C54" s="3" t="s">
        <v>16</v>
      </c>
      <c r="D54" t="s">
        <v>188</v>
      </c>
      <c r="E54" t="s">
        <v>189</v>
      </c>
      <c r="F54" t="s">
        <v>259</v>
      </c>
      <c r="G54" t="s">
        <v>260</v>
      </c>
      <c r="H54" t="s">
        <v>261</v>
      </c>
      <c r="I54" s="4">
        <v>2.69</v>
      </c>
      <c r="J54" t="s">
        <v>21</v>
      </c>
      <c r="K54" t="s">
        <v>101</v>
      </c>
      <c r="L54" t="s">
        <v>23</v>
      </c>
      <c r="M54" t="s">
        <v>24</v>
      </c>
    </row>
    <row r="55" spans="1:14" x14ac:dyDescent="0.3">
      <c r="A55" s="3" t="s">
        <v>262</v>
      </c>
      <c r="B55" s="3" t="s">
        <v>80</v>
      </c>
      <c r="C55" s="3" t="s">
        <v>16</v>
      </c>
      <c r="D55" t="s">
        <v>188</v>
      </c>
      <c r="E55" t="s">
        <v>188</v>
      </c>
      <c r="F55" t="s">
        <v>263</v>
      </c>
      <c r="G55" t="s">
        <v>264</v>
      </c>
      <c r="H55" t="s">
        <v>265</v>
      </c>
      <c r="I55" s="4">
        <v>3.64</v>
      </c>
      <c r="J55" t="s">
        <v>50</v>
      </c>
      <c r="K55" t="s">
        <v>22</v>
      </c>
      <c r="L55" t="s">
        <v>23</v>
      </c>
      <c r="M55" t="s">
        <v>24</v>
      </c>
    </row>
    <row r="56" spans="1:14" x14ac:dyDescent="0.3">
      <c r="A56" s="3" t="s">
        <v>266</v>
      </c>
      <c r="B56" s="3" t="s">
        <v>67</v>
      </c>
      <c r="C56" s="3" t="s">
        <v>16</v>
      </c>
      <c r="D56" t="s">
        <v>188</v>
      </c>
      <c r="E56" t="s">
        <v>189</v>
      </c>
      <c r="F56" t="s">
        <v>259</v>
      </c>
      <c r="G56" t="s">
        <v>267</v>
      </c>
      <c r="H56" t="s">
        <v>268</v>
      </c>
      <c r="I56" s="4">
        <v>2.25</v>
      </c>
      <c r="J56" t="s">
        <v>41</v>
      </c>
      <c r="K56" t="s">
        <v>42</v>
      </c>
      <c r="L56" t="s">
        <v>119</v>
      </c>
      <c r="M56" t="s">
        <v>43</v>
      </c>
    </row>
    <row r="57" spans="1:14" x14ac:dyDescent="0.3">
      <c r="A57" s="3" t="s">
        <v>269</v>
      </c>
      <c r="B57" s="3" t="s">
        <v>26</v>
      </c>
      <c r="C57" s="3" t="s">
        <v>16</v>
      </c>
      <c r="D57" t="s">
        <v>27</v>
      </c>
      <c r="E57" t="s">
        <v>93</v>
      </c>
      <c r="F57" t="s">
        <v>270</v>
      </c>
      <c r="G57" t="s">
        <v>271</v>
      </c>
      <c r="H57" t="s">
        <v>272</v>
      </c>
      <c r="I57" s="4">
        <v>2.21</v>
      </c>
      <c r="J57" t="s">
        <v>50</v>
      </c>
      <c r="K57" t="s">
        <v>22</v>
      </c>
      <c r="L57" t="s">
        <v>23</v>
      </c>
      <c r="M57" t="s">
        <v>24</v>
      </c>
    </row>
    <row r="58" spans="1:14" x14ac:dyDescent="0.3">
      <c r="A58" s="3" t="s">
        <v>273</v>
      </c>
      <c r="B58" s="3" t="s">
        <v>103</v>
      </c>
      <c r="C58" s="3" t="s">
        <v>16</v>
      </c>
      <c r="D58" t="s">
        <v>104</v>
      </c>
      <c r="E58" t="s">
        <v>274</v>
      </c>
      <c r="F58" t="s">
        <v>275</v>
      </c>
      <c r="G58" t="s">
        <v>276</v>
      </c>
      <c r="H58" t="s">
        <v>277</v>
      </c>
      <c r="I58" s="4">
        <v>1.48</v>
      </c>
      <c r="J58" t="s">
        <v>41</v>
      </c>
      <c r="K58" t="s">
        <v>42</v>
      </c>
      <c r="L58" t="s">
        <v>23</v>
      </c>
      <c r="M58" t="s">
        <v>85</v>
      </c>
    </row>
    <row r="59" spans="1:14" x14ac:dyDescent="0.3">
      <c r="A59" s="3" t="s">
        <v>278</v>
      </c>
      <c r="B59" s="3" t="s">
        <v>63</v>
      </c>
      <c r="C59" s="3" t="s">
        <v>35</v>
      </c>
      <c r="D59" t="s">
        <v>114</v>
      </c>
      <c r="E59" t="s">
        <v>279</v>
      </c>
      <c r="F59" t="s">
        <v>280</v>
      </c>
      <c r="G59" t="s">
        <v>281</v>
      </c>
      <c r="H59" t="s">
        <v>282</v>
      </c>
      <c r="I59" s="4">
        <v>4.3</v>
      </c>
      <c r="J59" t="s">
        <v>21</v>
      </c>
      <c r="K59" t="s">
        <v>101</v>
      </c>
      <c r="L59" t="s">
        <v>23</v>
      </c>
      <c r="M59" t="s">
        <v>32</v>
      </c>
    </row>
    <row r="60" spans="1:14" x14ac:dyDescent="0.3">
      <c r="A60" s="3" t="s">
        <v>283</v>
      </c>
      <c r="B60" s="3" t="s">
        <v>87</v>
      </c>
      <c r="C60" s="3" t="s">
        <v>35</v>
      </c>
      <c r="D60" t="s">
        <v>36</v>
      </c>
      <c r="E60" t="s">
        <v>37</v>
      </c>
      <c r="F60" t="s">
        <v>37</v>
      </c>
      <c r="G60" t="s">
        <v>284</v>
      </c>
      <c r="H60" t="s">
        <v>285</v>
      </c>
      <c r="I60" s="4">
        <v>4.79</v>
      </c>
      <c r="J60" t="s">
        <v>73</v>
      </c>
      <c r="K60" t="s">
        <v>101</v>
      </c>
      <c r="L60" t="s">
        <v>23</v>
      </c>
      <c r="M60" t="s">
        <v>43</v>
      </c>
    </row>
    <row r="61" spans="1:14" x14ac:dyDescent="0.3">
      <c r="A61" s="3" t="s">
        <v>286</v>
      </c>
      <c r="B61" s="3" t="s">
        <v>287</v>
      </c>
      <c r="C61" s="3" t="s">
        <v>35</v>
      </c>
      <c r="D61" t="s">
        <v>88</v>
      </c>
      <c r="E61" t="s">
        <v>89</v>
      </c>
      <c r="F61" t="s">
        <v>89</v>
      </c>
      <c r="G61" t="s">
        <v>288</v>
      </c>
      <c r="H61" t="s">
        <v>156</v>
      </c>
      <c r="I61" s="4">
        <v>2.9</v>
      </c>
      <c r="J61" t="s">
        <v>41</v>
      </c>
      <c r="K61" t="s">
        <v>42</v>
      </c>
      <c r="L61" t="s">
        <v>119</v>
      </c>
      <c r="M61" t="s">
        <v>43</v>
      </c>
    </row>
    <row r="62" spans="1:14" x14ac:dyDescent="0.3">
      <c r="A62" s="3" t="s">
        <v>289</v>
      </c>
      <c r="B62" s="3" t="s">
        <v>26</v>
      </c>
      <c r="C62" s="3" t="s">
        <v>16</v>
      </c>
      <c r="D62" t="s">
        <v>17</v>
      </c>
      <c r="E62" t="s">
        <v>81</v>
      </c>
      <c r="F62" t="s">
        <v>82</v>
      </c>
      <c r="G62" t="s">
        <v>290</v>
      </c>
      <c r="H62" t="s">
        <v>291</v>
      </c>
      <c r="I62" s="4">
        <v>1.42</v>
      </c>
      <c r="J62" t="s">
        <v>50</v>
      </c>
      <c r="K62" t="s">
        <v>22</v>
      </c>
      <c r="L62" t="s">
        <v>23</v>
      </c>
      <c r="M62" t="s">
        <v>24</v>
      </c>
    </row>
    <row r="63" spans="1:14" x14ac:dyDescent="0.3">
      <c r="A63" s="3" t="s">
        <v>292</v>
      </c>
      <c r="B63" s="3" t="s">
        <v>103</v>
      </c>
      <c r="C63" s="3" t="s">
        <v>16</v>
      </c>
      <c r="D63" t="s">
        <v>17</v>
      </c>
      <c r="E63" t="s">
        <v>17</v>
      </c>
      <c r="F63" t="s">
        <v>81</v>
      </c>
      <c r="G63" t="s">
        <v>293</v>
      </c>
      <c r="H63" t="s">
        <v>294</v>
      </c>
      <c r="I63" s="4">
        <v>1.4</v>
      </c>
      <c r="J63" t="s">
        <v>73</v>
      </c>
      <c r="K63" t="s">
        <v>101</v>
      </c>
      <c r="L63" t="s">
        <v>23</v>
      </c>
      <c r="M63" t="s">
        <v>43</v>
      </c>
    </row>
    <row r="64" spans="1:14" x14ac:dyDescent="0.3">
      <c r="A64" s="3" t="s">
        <v>295</v>
      </c>
      <c r="B64" s="3" t="s">
        <v>59</v>
      </c>
      <c r="C64" s="3" t="s">
        <v>16</v>
      </c>
      <c r="D64" t="s">
        <v>27</v>
      </c>
      <c r="E64" t="s">
        <v>27</v>
      </c>
      <c r="F64" t="s">
        <v>29</v>
      </c>
      <c r="G64" t="s">
        <v>296</v>
      </c>
      <c r="H64" t="s">
        <v>297</v>
      </c>
      <c r="I64" s="4">
        <v>4.8099999999999996</v>
      </c>
      <c r="J64" t="s">
        <v>41</v>
      </c>
      <c r="K64" t="s">
        <v>57</v>
      </c>
      <c r="L64" t="s">
        <v>119</v>
      </c>
      <c r="M64" t="s">
        <v>85</v>
      </c>
      <c r="N64" s="1">
        <v>45124</v>
      </c>
    </row>
    <row r="65" spans="1:14" x14ac:dyDescent="0.3">
      <c r="A65" s="3" t="s">
        <v>298</v>
      </c>
      <c r="B65" s="3" t="s">
        <v>158</v>
      </c>
      <c r="C65" s="3" t="s">
        <v>16</v>
      </c>
      <c r="D65" t="s">
        <v>17</v>
      </c>
      <c r="E65" t="s">
        <v>81</v>
      </c>
      <c r="F65" t="s">
        <v>82</v>
      </c>
      <c r="G65" t="s">
        <v>299</v>
      </c>
      <c r="H65" t="s">
        <v>300</v>
      </c>
      <c r="I65" s="4">
        <v>3.95</v>
      </c>
      <c r="J65" t="s">
        <v>73</v>
      </c>
      <c r="K65" t="s">
        <v>42</v>
      </c>
      <c r="L65" t="s">
        <v>23</v>
      </c>
      <c r="M65" t="s">
        <v>43</v>
      </c>
    </row>
    <row r="66" spans="1:14" x14ac:dyDescent="0.3">
      <c r="A66" s="3" t="s">
        <v>301</v>
      </c>
      <c r="B66" s="3" t="s">
        <v>87</v>
      </c>
      <c r="C66" s="3" t="s">
        <v>35</v>
      </c>
      <c r="D66" t="s">
        <v>114</v>
      </c>
      <c r="E66" t="s">
        <v>150</v>
      </c>
      <c r="F66" t="s">
        <v>302</v>
      </c>
      <c r="G66" t="s">
        <v>303</v>
      </c>
      <c r="H66" t="s">
        <v>304</v>
      </c>
      <c r="I66" s="4">
        <v>3.08</v>
      </c>
      <c r="J66" t="s">
        <v>41</v>
      </c>
      <c r="K66" t="s">
        <v>57</v>
      </c>
      <c r="L66" t="s">
        <v>119</v>
      </c>
      <c r="M66" t="s">
        <v>85</v>
      </c>
      <c r="N66" s="1">
        <v>44939</v>
      </c>
    </row>
    <row r="67" spans="1:14" x14ac:dyDescent="0.3">
      <c r="A67" s="3" t="s">
        <v>305</v>
      </c>
      <c r="B67" s="3" t="s">
        <v>52</v>
      </c>
      <c r="C67" s="3" t="s">
        <v>35</v>
      </c>
      <c r="D67" t="s">
        <v>114</v>
      </c>
      <c r="E67" t="s">
        <v>279</v>
      </c>
      <c r="F67" t="s">
        <v>306</v>
      </c>
      <c r="G67" t="s">
        <v>307</v>
      </c>
      <c r="H67" t="s">
        <v>308</v>
      </c>
      <c r="I67" s="4">
        <v>2.44</v>
      </c>
      <c r="J67" t="s">
        <v>73</v>
      </c>
      <c r="K67" t="s">
        <v>57</v>
      </c>
      <c r="L67" t="s">
        <v>23</v>
      </c>
      <c r="M67" t="s">
        <v>43</v>
      </c>
    </row>
    <row r="68" spans="1:14" x14ac:dyDescent="0.3">
      <c r="A68" s="3" t="s">
        <v>309</v>
      </c>
      <c r="B68" s="3" t="s">
        <v>124</v>
      </c>
      <c r="C68" s="3" t="s">
        <v>16</v>
      </c>
      <c r="D68" t="s">
        <v>27</v>
      </c>
      <c r="E68" t="s">
        <v>28</v>
      </c>
      <c r="F68" t="s">
        <v>28</v>
      </c>
      <c r="G68" t="s">
        <v>310</v>
      </c>
      <c r="H68" t="s">
        <v>311</v>
      </c>
      <c r="I68" s="4">
        <v>4.8</v>
      </c>
      <c r="J68" t="s">
        <v>21</v>
      </c>
      <c r="K68" t="s">
        <v>101</v>
      </c>
      <c r="L68" t="s">
        <v>23</v>
      </c>
      <c r="M68" t="s">
        <v>24</v>
      </c>
    </row>
    <row r="69" spans="1:14" x14ac:dyDescent="0.3">
      <c r="A69" s="3" t="s">
        <v>312</v>
      </c>
      <c r="B69" s="3" t="s">
        <v>80</v>
      </c>
      <c r="C69" s="3" t="s">
        <v>16</v>
      </c>
      <c r="D69" t="s">
        <v>188</v>
      </c>
      <c r="E69" t="s">
        <v>188</v>
      </c>
      <c r="F69" t="s">
        <v>188</v>
      </c>
      <c r="G69" t="s">
        <v>313</v>
      </c>
      <c r="H69" t="s">
        <v>314</v>
      </c>
      <c r="I69" s="4">
        <v>4.93</v>
      </c>
      <c r="J69" t="s">
        <v>73</v>
      </c>
      <c r="K69" t="s">
        <v>101</v>
      </c>
      <c r="L69" t="s">
        <v>23</v>
      </c>
      <c r="M69" t="s">
        <v>32</v>
      </c>
    </row>
    <row r="70" spans="1:14" x14ac:dyDescent="0.3">
      <c r="A70" s="3" t="s">
        <v>315</v>
      </c>
      <c r="B70" s="3" t="s">
        <v>80</v>
      </c>
      <c r="C70" s="3" t="s">
        <v>16</v>
      </c>
      <c r="D70" t="s">
        <v>17</v>
      </c>
      <c r="E70" t="s">
        <v>17</v>
      </c>
      <c r="F70" t="s">
        <v>17</v>
      </c>
      <c r="G70" t="s">
        <v>316</v>
      </c>
      <c r="H70" t="s">
        <v>317</v>
      </c>
      <c r="I70" s="4">
        <v>0.84</v>
      </c>
      <c r="J70" t="s">
        <v>50</v>
      </c>
      <c r="K70" t="s">
        <v>22</v>
      </c>
      <c r="L70" t="s">
        <v>23</v>
      </c>
      <c r="M70" t="s">
        <v>24</v>
      </c>
    </row>
    <row r="71" spans="1:14" x14ac:dyDescent="0.3">
      <c r="A71" s="3" t="s">
        <v>318</v>
      </c>
      <c r="B71" s="3" t="s">
        <v>34</v>
      </c>
      <c r="C71" s="3" t="s">
        <v>35</v>
      </c>
      <c r="D71" t="s">
        <v>167</v>
      </c>
      <c r="E71" t="s">
        <v>168</v>
      </c>
      <c r="F71" t="s">
        <v>319</v>
      </c>
      <c r="G71" t="s">
        <v>320</v>
      </c>
      <c r="H71" t="s">
        <v>321</v>
      </c>
      <c r="I71" s="4">
        <v>3.37</v>
      </c>
      <c r="J71" t="s">
        <v>41</v>
      </c>
      <c r="K71" t="s">
        <v>57</v>
      </c>
      <c r="L71" t="s">
        <v>23</v>
      </c>
      <c r="M71" t="s">
        <v>85</v>
      </c>
    </row>
    <row r="72" spans="1:14" x14ac:dyDescent="0.3">
      <c r="A72" s="3" t="s">
        <v>322</v>
      </c>
      <c r="B72" s="3" t="s">
        <v>63</v>
      </c>
      <c r="C72" s="3" t="s">
        <v>35</v>
      </c>
      <c r="D72" t="s">
        <v>45</v>
      </c>
      <c r="E72" t="s">
        <v>138</v>
      </c>
      <c r="F72" t="s">
        <v>139</v>
      </c>
      <c r="G72" t="s">
        <v>323</v>
      </c>
      <c r="H72" t="s">
        <v>324</v>
      </c>
      <c r="I72" s="4">
        <v>4.88</v>
      </c>
      <c r="J72" t="s">
        <v>21</v>
      </c>
      <c r="K72" t="s">
        <v>101</v>
      </c>
      <c r="L72" t="s">
        <v>23</v>
      </c>
      <c r="M72" t="s">
        <v>32</v>
      </c>
    </row>
    <row r="73" spans="1:14" x14ac:dyDescent="0.3">
      <c r="A73" s="3" t="s">
        <v>325</v>
      </c>
      <c r="B73" s="3" t="s">
        <v>59</v>
      </c>
      <c r="C73" s="3" t="s">
        <v>16</v>
      </c>
      <c r="D73" t="s">
        <v>68</v>
      </c>
      <c r="E73" t="s">
        <v>68</v>
      </c>
      <c r="F73" t="s">
        <v>69</v>
      </c>
      <c r="G73" t="s">
        <v>326</v>
      </c>
      <c r="H73" t="s">
        <v>327</v>
      </c>
      <c r="I73" s="4">
        <v>3.45</v>
      </c>
      <c r="J73" t="s">
        <v>41</v>
      </c>
      <c r="K73" t="s">
        <v>42</v>
      </c>
      <c r="L73" t="s">
        <v>23</v>
      </c>
      <c r="M73" t="s">
        <v>85</v>
      </c>
    </row>
    <row r="74" spans="1:14" x14ac:dyDescent="0.3">
      <c r="A74" s="3" t="s">
        <v>328</v>
      </c>
      <c r="B74" s="3" t="s">
        <v>26</v>
      </c>
      <c r="C74" s="3" t="s">
        <v>16</v>
      </c>
      <c r="D74" t="s">
        <v>27</v>
      </c>
      <c r="E74" t="s">
        <v>93</v>
      </c>
      <c r="F74" t="s">
        <v>270</v>
      </c>
      <c r="G74" t="s">
        <v>329</v>
      </c>
      <c r="H74" t="s">
        <v>330</v>
      </c>
      <c r="I74" s="4">
        <v>1.29</v>
      </c>
      <c r="J74" t="s">
        <v>41</v>
      </c>
      <c r="K74" t="s">
        <v>42</v>
      </c>
      <c r="L74" t="s">
        <v>23</v>
      </c>
      <c r="M74" t="s">
        <v>85</v>
      </c>
    </row>
    <row r="75" spans="1:14" x14ac:dyDescent="0.3">
      <c r="A75" s="3" t="s">
        <v>331</v>
      </c>
      <c r="B75" s="3" t="s">
        <v>287</v>
      </c>
      <c r="C75" s="3" t="s">
        <v>35</v>
      </c>
      <c r="D75" t="s">
        <v>88</v>
      </c>
      <c r="E75" t="s">
        <v>89</v>
      </c>
      <c r="F75" t="s">
        <v>332</v>
      </c>
      <c r="G75" t="s">
        <v>333</v>
      </c>
      <c r="H75" t="s">
        <v>334</v>
      </c>
      <c r="I75" s="4">
        <v>2.21</v>
      </c>
      <c r="J75" t="s">
        <v>73</v>
      </c>
      <c r="K75" t="s">
        <v>42</v>
      </c>
      <c r="L75" t="s">
        <v>23</v>
      </c>
      <c r="M75" t="s">
        <v>43</v>
      </c>
    </row>
    <row r="76" spans="1:14" x14ac:dyDescent="0.3">
      <c r="A76" s="3" t="s">
        <v>335</v>
      </c>
      <c r="B76" s="3" t="s">
        <v>15</v>
      </c>
      <c r="C76" s="3" t="s">
        <v>16</v>
      </c>
      <c r="D76" t="s">
        <v>27</v>
      </c>
      <c r="E76" t="s">
        <v>93</v>
      </c>
      <c r="F76" t="s">
        <v>270</v>
      </c>
      <c r="G76" t="s">
        <v>336</v>
      </c>
      <c r="H76" t="s">
        <v>337</v>
      </c>
      <c r="I76" s="4">
        <v>2.0699999999999998</v>
      </c>
      <c r="J76" t="s">
        <v>41</v>
      </c>
      <c r="K76" t="s">
        <v>57</v>
      </c>
      <c r="L76" t="s">
        <v>23</v>
      </c>
      <c r="M76" t="s">
        <v>43</v>
      </c>
    </row>
    <row r="77" spans="1:14" x14ac:dyDescent="0.3">
      <c r="A77" s="3" t="s">
        <v>338</v>
      </c>
      <c r="B77" s="3" t="s">
        <v>67</v>
      </c>
      <c r="C77" s="3" t="s">
        <v>16</v>
      </c>
      <c r="D77" t="s">
        <v>17</v>
      </c>
      <c r="E77" t="s">
        <v>17</v>
      </c>
      <c r="F77" t="s">
        <v>339</v>
      </c>
      <c r="G77" t="s">
        <v>340</v>
      </c>
      <c r="H77" t="s">
        <v>341</v>
      </c>
      <c r="I77" s="4">
        <v>4.59</v>
      </c>
      <c r="J77" t="s">
        <v>41</v>
      </c>
      <c r="K77" t="s">
        <v>42</v>
      </c>
      <c r="L77" t="s">
        <v>23</v>
      </c>
      <c r="M77" t="s">
        <v>85</v>
      </c>
    </row>
    <row r="78" spans="1:14" x14ac:dyDescent="0.3">
      <c r="A78" s="3" t="s">
        <v>342</v>
      </c>
      <c r="B78" s="3" t="s">
        <v>15</v>
      </c>
      <c r="C78" s="3" t="s">
        <v>16</v>
      </c>
      <c r="D78" t="s">
        <v>27</v>
      </c>
      <c r="E78" t="s">
        <v>93</v>
      </c>
      <c r="F78" t="s">
        <v>343</v>
      </c>
      <c r="G78" t="s">
        <v>344</v>
      </c>
      <c r="H78" t="s">
        <v>345</v>
      </c>
      <c r="I78" s="4">
        <v>2.5</v>
      </c>
      <c r="J78" t="s">
        <v>41</v>
      </c>
      <c r="K78" t="s">
        <v>42</v>
      </c>
      <c r="L78" t="s">
        <v>119</v>
      </c>
      <c r="M78" t="s">
        <v>85</v>
      </c>
      <c r="N78" s="1">
        <v>45209</v>
      </c>
    </row>
    <row r="79" spans="1:14" x14ac:dyDescent="0.3">
      <c r="A79" s="3" t="s">
        <v>346</v>
      </c>
      <c r="B79" s="3" t="s">
        <v>131</v>
      </c>
      <c r="C79" s="3" t="s">
        <v>35</v>
      </c>
      <c r="D79" t="s">
        <v>167</v>
      </c>
      <c r="E79" t="s">
        <v>168</v>
      </c>
      <c r="F79" t="s">
        <v>168</v>
      </c>
      <c r="G79" t="s">
        <v>347</v>
      </c>
      <c r="H79" t="s">
        <v>348</v>
      </c>
      <c r="I79" s="4">
        <v>2.39</v>
      </c>
      <c r="J79" t="s">
        <v>50</v>
      </c>
      <c r="K79" t="s">
        <v>22</v>
      </c>
      <c r="L79" t="s">
        <v>23</v>
      </c>
      <c r="M79" t="s">
        <v>24</v>
      </c>
    </row>
    <row r="80" spans="1:14" x14ac:dyDescent="0.3">
      <c r="A80" s="3" t="s">
        <v>349</v>
      </c>
      <c r="B80" s="3" t="s">
        <v>63</v>
      </c>
      <c r="C80" s="3" t="s">
        <v>35</v>
      </c>
      <c r="D80" t="s">
        <v>167</v>
      </c>
      <c r="E80" t="s">
        <v>350</v>
      </c>
      <c r="F80" t="s">
        <v>351</v>
      </c>
      <c r="G80" t="s">
        <v>352</v>
      </c>
      <c r="H80" t="s">
        <v>353</v>
      </c>
      <c r="I80" s="4">
        <v>3.93</v>
      </c>
      <c r="J80" t="s">
        <v>73</v>
      </c>
      <c r="K80" t="s">
        <v>42</v>
      </c>
      <c r="L80" t="s">
        <v>23</v>
      </c>
      <c r="M80" t="s">
        <v>32</v>
      </c>
    </row>
    <row r="81" spans="1:14" x14ac:dyDescent="0.3">
      <c r="A81" s="3" t="s">
        <v>354</v>
      </c>
      <c r="B81" s="3" t="s">
        <v>131</v>
      </c>
      <c r="C81" s="3" t="s">
        <v>35</v>
      </c>
      <c r="D81" t="s">
        <v>45</v>
      </c>
      <c r="E81" t="s">
        <v>138</v>
      </c>
      <c r="F81" t="s">
        <v>355</v>
      </c>
      <c r="G81" t="s">
        <v>356</v>
      </c>
      <c r="H81" t="s">
        <v>357</v>
      </c>
      <c r="I81" s="4">
        <v>4.8600000000000003</v>
      </c>
      <c r="J81" t="s">
        <v>21</v>
      </c>
      <c r="K81" t="s">
        <v>101</v>
      </c>
      <c r="L81" t="s">
        <v>23</v>
      </c>
      <c r="M81" t="s">
        <v>24</v>
      </c>
    </row>
    <row r="82" spans="1:14" x14ac:dyDescent="0.3">
      <c r="A82" s="3" t="s">
        <v>358</v>
      </c>
      <c r="B82" s="3" t="s">
        <v>59</v>
      </c>
      <c r="C82" s="3" t="s">
        <v>16</v>
      </c>
      <c r="D82" t="s">
        <v>68</v>
      </c>
      <c r="E82" t="s">
        <v>68</v>
      </c>
      <c r="F82" t="s">
        <v>69</v>
      </c>
      <c r="G82" t="s">
        <v>359</v>
      </c>
      <c r="H82" t="s">
        <v>360</v>
      </c>
      <c r="I82" s="4">
        <v>1.24</v>
      </c>
      <c r="J82" t="s">
        <v>41</v>
      </c>
      <c r="K82" t="s">
        <v>42</v>
      </c>
      <c r="L82" t="s">
        <v>23</v>
      </c>
      <c r="M82" t="s">
        <v>43</v>
      </c>
    </row>
    <row r="83" spans="1:14" x14ac:dyDescent="0.3">
      <c r="A83" s="3" t="s">
        <v>361</v>
      </c>
      <c r="B83" s="3" t="s">
        <v>158</v>
      </c>
      <c r="C83" s="3" t="s">
        <v>16</v>
      </c>
      <c r="D83" t="s">
        <v>104</v>
      </c>
      <c r="E83" t="s">
        <v>274</v>
      </c>
      <c r="F83" t="s">
        <v>362</v>
      </c>
      <c r="G83" t="s">
        <v>363</v>
      </c>
      <c r="H83" t="s">
        <v>364</v>
      </c>
      <c r="I83" s="4">
        <v>3</v>
      </c>
      <c r="J83" t="s">
        <v>73</v>
      </c>
      <c r="K83" t="s">
        <v>42</v>
      </c>
      <c r="L83" t="s">
        <v>23</v>
      </c>
      <c r="M83" t="s">
        <v>43</v>
      </c>
    </row>
    <row r="84" spans="1:14" x14ac:dyDescent="0.3">
      <c r="A84" s="3" t="s">
        <v>365</v>
      </c>
      <c r="B84" s="3" t="s">
        <v>131</v>
      </c>
      <c r="C84" s="3" t="s">
        <v>35</v>
      </c>
      <c r="D84" t="s">
        <v>36</v>
      </c>
      <c r="E84" t="s">
        <v>175</v>
      </c>
      <c r="F84" t="s">
        <v>366</v>
      </c>
      <c r="G84" t="s">
        <v>367</v>
      </c>
      <c r="H84" t="s">
        <v>368</v>
      </c>
      <c r="I84" s="4">
        <v>4.67</v>
      </c>
      <c r="J84" t="s">
        <v>50</v>
      </c>
      <c r="K84" t="s">
        <v>22</v>
      </c>
      <c r="L84" t="s">
        <v>23</v>
      </c>
      <c r="M84" t="s">
        <v>24</v>
      </c>
    </row>
    <row r="85" spans="1:14" x14ac:dyDescent="0.3">
      <c r="A85" s="3" t="s">
        <v>369</v>
      </c>
      <c r="B85" s="3" t="s">
        <v>113</v>
      </c>
      <c r="C85" s="3" t="s">
        <v>35</v>
      </c>
      <c r="D85" t="s">
        <v>88</v>
      </c>
      <c r="E85" t="s">
        <v>89</v>
      </c>
      <c r="F85" t="s">
        <v>332</v>
      </c>
      <c r="G85" t="s">
        <v>370</v>
      </c>
      <c r="H85" t="s">
        <v>371</v>
      </c>
      <c r="I85" s="4">
        <v>3.62</v>
      </c>
      <c r="J85" t="s">
        <v>73</v>
      </c>
      <c r="K85" t="s">
        <v>57</v>
      </c>
      <c r="L85" t="s">
        <v>23</v>
      </c>
      <c r="M85" t="s">
        <v>43</v>
      </c>
    </row>
    <row r="86" spans="1:14" x14ac:dyDescent="0.3">
      <c r="A86" s="3" t="s">
        <v>372</v>
      </c>
      <c r="B86" s="3" t="s">
        <v>26</v>
      </c>
      <c r="C86" s="3" t="s">
        <v>16</v>
      </c>
      <c r="D86" t="s">
        <v>27</v>
      </c>
      <c r="E86" t="s">
        <v>93</v>
      </c>
      <c r="F86" t="s">
        <v>270</v>
      </c>
      <c r="G86" t="s">
        <v>373</v>
      </c>
      <c r="H86" t="s">
        <v>374</v>
      </c>
      <c r="I86" s="4">
        <v>4.3600000000000003</v>
      </c>
      <c r="J86" t="s">
        <v>21</v>
      </c>
      <c r="K86" t="s">
        <v>101</v>
      </c>
      <c r="L86" t="s">
        <v>23</v>
      </c>
      <c r="M86" t="s">
        <v>24</v>
      </c>
    </row>
    <row r="87" spans="1:14" x14ac:dyDescent="0.3">
      <c r="A87" s="3" t="s">
        <v>375</v>
      </c>
      <c r="B87" s="3" t="s">
        <v>15</v>
      </c>
      <c r="C87" s="3" t="s">
        <v>16</v>
      </c>
      <c r="D87" t="s">
        <v>104</v>
      </c>
      <c r="E87" t="s">
        <v>104</v>
      </c>
      <c r="F87" t="s">
        <v>376</v>
      </c>
      <c r="G87" t="s">
        <v>377</v>
      </c>
      <c r="H87" t="s">
        <v>378</v>
      </c>
      <c r="I87" s="4">
        <v>1.99</v>
      </c>
      <c r="J87" t="s">
        <v>50</v>
      </c>
      <c r="K87" t="s">
        <v>22</v>
      </c>
      <c r="L87" t="s">
        <v>23</v>
      </c>
      <c r="M87" t="s">
        <v>24</v>
      </c>
    </row>
    <row r="88" spans="1:14" x14ac:dyDescent="0.3">
      <c r="A88" s="3" t="s">
        <v>379</v>
      </c>
      <c r="B88" s="3" t="s">
        <v>80</v>
      </c>
      <c r="C88" s="3" t="s">
        <v>16</v>
      </c>
      <c r="D88" t="s">
        <v>188</v>
      </c>
      <c r="E88" t="s">
        <v>263</v>
      </c>
      <c r="F88" t="s">
        <v>380</v>
      </c>
      <c r="G88" t="s">
        <v>381</v>
      </c>
      <c r="H88" t="s">
        <v>382</v>
      </c>
      <c r="I88" s="4">
        <v>1.08</v>
      </c>
      <c r="J88" t="s">
        <v>41</v>
      </c>
      <c r="K88" t="s">
        <v>57</v>
      </c>
      <c r="L88" t="s">
        <v>119</v>
      </c>
      <c r="M88" t="s">
        <v>85</v>
      </c>
      <c r="N88" s="1">
        <v>45539</v>
      </c>
    </row>
    <row r="89" spans="1:14" x14ac:dyDescent="0.3">
      <c r="A89" s="3" t="s">
        <v>383</v>
      </c>
      <c r="B89" s="3" t="s">
        <v>287</v>
      </c>
      <c r="C89" s="3" t="s">
        <v>35</v>
      </c>
      <c r="D89" t="s">
        <v>45</v>
      </c>
      <c r="E89" t="s">
        <v>45</v>
      </c>
      <c r="F89" t="s">
        <v>45</v>
      </c>
      <c r="G89" t="s">
        <v>384</v>
      </c>
      <c r="H89" t="s">
        <v>40</v>
      </c>
      <c r="I89" s="4">
        <v>4.53</v>
      </c>
      <c r="J89" t="s">
        <v>41</v>
      </c>
      <c r="K89" t="s">
        <v>42</v>
      </c>
      <c r="L89" t="s">
        <v>23</v>
      </c>
      <c r="M89" t="s">
        <v>43</v>
      </c>
    </row>
    <row r="90" spans="1:14" x14ac:dyDescent="0.3">
      <c r="A90" s="3" t="s">
        <v>385</v>
      </c>
      <c r="B90" s="3" t="s">
        <v>52</v>
      </c>
      <c r="C90" s="3" t="s">
        <v>35</v>
      </c>
      <c r="D90" t="s">
        <v>114</v>
      </c>
      <c r="E90" t="s">
        <v>279</v>
      </c>
      <c r="F90" t="s">
        <v>279</v>
      </c>
      <c r="G90" t="s">
        <v>386</v>
      </c>
      <c r="H90" t="s">
        <v>387</v>
      </c>
      <c r="I90" s="4">
        <v>3.95</v>
      </c>
      <c r="J90" t="s">
        <v>41</v>
      </c>
      <c r="K90" t="s">
        <v>57</v>
      </c>
      <c r="L90" t="s">
        <v>119</v>
      </c>
      <c r="M90" t="s">
        <v>85</v>
      </c>
      <c r="N90" s="1">
        <v>45335</v>
      </c>
    </row>
    <row r="91" spans="1:14" x14ac:dyDescent="0.3">
      <c r="A91" s="3" t="s">
        <v>388</v>
      </c>
      <c r="B91" s="3" t="s">
        <v>131</v>
      </c>
      <c r="C91" s="3" t="s">
        <v>35</v>
      </c>
      <c r="D91" t="s">
        <v>88</v>
      </c>
      <c r="E91" t="s">
        <v>89</v>
      </c>
      <c r="F91" t="s">
        <v>94</v>
      </c>
      <c r="G91" t="s">
        <v>389</v>
      </c>
      <c r="H91" t="s">
        <v>390</v>
      </c>
      <c r="I91" s="4">
        <v>3.78</v>
      </c>
      <c r="J91" t="s">
        <v>73</v>
      </c>
      <c r="K91" t="s">
        <v>42</v>
      </c>
      <c r="L91" t="s">
        <v>23</v>
      </c>
      <c r="M91" t="s">
        <v>43</v>
      </c>
    </row>
    <row r="92" spans="1:14" x14ac:dyDescent="0.3">
      <c r="A92" s="3" t="s">
        <v>391</v>
      </c>
      <c r="B92" s="3" t="s">
        <v>80</v>
      </c>
      <c r="C92" s="3" t="s">
        <v>16</v>
      </c>
      <c r="D92" t="s">
        <v>104</v>
      </c>
      <c r="E92" t="s">
        <v>105</v>
      </c>
      <c r="F92" t="s">
        <v>392</v>
      </c>
      <c r="G92" t="s">
        <v>393</v>
      </c>
      <c r="H92" t="s">
        <v>394</v>
      </c>
      <c r="I92" s="4">
        <v>1.34</v>
      </c>
      <c r="J92" t="s">
        <v>41</v>
      </c>
      <c r="K92" t="s">
        <v>42</v>
      </c>
      <c r="L92" t="s">
        <v>119</v>
      </c>
      <c r="M92" t="s">
        <v>43</v>
      </c>
    </row>
    <row r="93" spans="1:14" x14ac:dyDescent="0.3">
      <c r="A93" s="3" t="s">
        <v>395</v>
      </c>
      <c r="B93" s="3" t="s">
        <v>67</v>
      </c>
      <c r="C93" s="3" t="s">
        <v>16</v>
      </c>
      <c r="D93" t="s">
        <v>188</v>
      </c>
      <c r="E93" t="s">
        <v>263</v>
      </c>
      <c r="F93" t="s">
        <v>396</v>
      </c>
      <c r="G93" t="s">
        <v>397</v>
      </c>
      <c r="H93" t="s">
        <v>398</v>
      </c>
      <c r="I93" s="4">
        <v>2.84</v>
      </c>
      <c r="J93" t="s">
        <v>73</v>
      </c>
      <c r="K93" t="s">
        <v>42</v>
      </c>
      <c r="L93" t="s">
        <v>23</v>
      </c>
      <c r="M93" t="s">
        <v>43</v>
      </c>
    </row>
    <row r="94" spans="1:14" x14ac:dyDescent="0.3">
      <c r="A94" s="3" t="s">
        <v>399</v>
      </c>
      <c r="B94" s="3" t="s">
        <v>287</v>
      </c>
      <c r="C94" s="3" t="s">
        <v>35</v>
      </c>
      <c r="D94" t="s">
        <v>114</v>
      </c>
      <c r="E94" t="s">
        <v>115</v>
      </c>
      <c r="F94" t="s">
        <v>400</v>
      </c>
      <c r="G94" t="s">
        <v>401</v>
      </c>
      <c r="H94" t="s">
        <v>402</v>
      </c>
      <c r="I94" s="4">
        <v>3.11</v>
      </c>
      <c r="J94" t="s">
        <v>50</v>
      </c>
      <c r="K94" t="s">
        <v>22</v>
      </c>
      <c r="L94" t="s">
        <v>23</v>
      </c>
      <c r="M94" t="s">
        <v>24</v>
      </c>
    </row>
    <row r="95" spans="1:14" x14ac:dyDescent="0.3">
      <c r="A95" s="3" t="s">
        <v>403</v>
      </c>
      <c r="B95" s="3" t="s">
        <v>113</v>
      </c>
      <c r="C95" s="3" t="s">
        <v>35</v>
      </c>
      <c r="D95" t="s">
        <v>114</v>
      </c>
      <c r="E95" t="s">
        <v>150</v>
      </c>
      <c r="F95" t="s">
        <v>404</v>
      </c>
      <c r="G95" t="s">
        <v>405</v>
      </c>
      <c r="H95" t="s">
        <v>406</v>
      </c>
      <c r="I95" s="4">
        <v>0.96</v>
      </c>
      <c r="J95" t="s">
        <v>50</v>
      </c>
      <c r="K95" t="s">
        <v>22</v>
      </c>
      <c r="L95" t="s">
        <v>23</v>
      </c>
      <c r="M95" t="s">
        <v>24</v>
      </c>
    </row>
    <row r="96" spans="1:14" x14ac:dyDescent="0.3">
      <c r="A96" s="3" t="s">
        <v>407</v>
      </c>
      <c r="B96" s="3" t="s">
        <v>15</v>
      </c>
      <c r="C96" s="3" t="s">
        <v>16</v>
      </c>
      <c r="D96" t="s">
        <v>188</v>
      </c>
      <c r="E96" t="s">
        <v>189</v>
      </c>
      <c r="F96" t="s">
        <v>189</v>
      </c>
      <c r="G96" t="s">
        <v>408</v>
      </c>
      <c r="H96" t="s">
        <v>72</v>
      </c>
      <c r="I96" s="4">
        <v>2.8</v>
      </c>
      <c r="J96" t="s">
        <v>50</v>
      </c>
      <c r="K96" t="s">
        <v>22</v>
      </c>
      <c r="L96" t="s">
        <v>23</v>
      </c>
      <c r="M96" t="s">
        <v>24</v>
      </c>
    </row>
    <row r="97" spans="1:14" x14ac:dyDescent="0.3">
      <c r="A97" s="3" t="s">
        <v>409</v>
      </c>
      <c r="B97" s="3" t="s">
        <v>80</v>
      </c>
      <c r="C97" s="3" t="s">
        <v>16</v>
      </c>
      <c r="D97" t="s">
        <v>27</v>
      </c>
      <c r="E97" t="s">
        <v>28</v>
      </c>
      <c r="F97" t="s">
        <v>410</v>
      </c>
      <c r="G97" t="s">
        <v>411</v>
      </c>
      <c r="H97" t="s">
        <v>412</v>
      </c>
      <c r="I97" s="4">
        <v>4.4000000000000004</v>
      </c>
      <c r="J97" t="s">
        <v>41</v>
      </c>
      <c r="K97" t="s">
        <v>42</v>
      </c>
      <c r="L97" t="s">
        <v>119</v>
      </c>
      <c r="M97" t="s">
        <v>43</v>
      </c>
    </row>
    <row r="98" spans="1:14" x14ac:dyDescent="0.3">
      <c r="A98" s="3" t="s">
        <v>413</v>
      </c>
      <c r="B98" s="3" t="s">
        <v>194</v>
      </c>
      <c r="C98" s="3" t="s">
        <v>35</v>
      </c>
      <c r="D98" t="s">
        <v>36</v>
      </c>
      <c r="E98" t="s">
        <v>53</v>
      </c>
      <c r="F98" t="s">
        <v>54</v>
      </c>
      <c r="G98" t="s">
        <v>414</v>
      </c>
      <c r="H98" t="s">
        <v>415</v>
      </c>
      <c r="I98" s="4">
        <v>3.82</v>
      </c>
      <c r="J98" t="s">
        <v>21</v>
      </c>
      <c r="K98" t="s">
        <v>101</v>
      </c>
      <c r="L98" t="s">
        <v>23</v>
      </c>
      <c r="M98" t="s">
        <v>32</v>
      </c>
    </row>
    <row r="99" spans="1:14" x14ac:dyDescent="0.3">
      <c r="A99" s="3" t="s">
        <v>416</v>
      </c>
      <c r="B99" s="3" t="s">
        <v>158</v>
      </c>
      <c r="C99" s="3" t="s">
        <v>16</v>
      </c>
      <c r="D99" t="s">
        <v>27</v>
      </c>
      <c r="E99" t="s">
        <v>93</v>
      </c>
      <c r="F99" t="s">
        <v>343</v>
      </c>
      <c r="G99" t="s">
        <v>417</v>
      </c>
      <c r="H99" t="s">
        <v>418</v>
      </c>
      <c r="I99" s="4">
        <v>0.93</v>
      </c>
      <c r="J99" t="s">
        <v>73</v>
      </c>
      <c r="K99" t="s">
        <v>42</v>
      </c>
      <c r="L99" t="s">
        <v>23</v>
      </c>
      <c r="M99" t="s">
        <v>43</v>
      </c>
    </row>
    <row r="100" spans="1:14" x14ac:dyDescent="0.3">
      <c r="A100" s="3" t="s">
        <v>419</v>
      </c>
      <c r="B100" s="3" t="s">
        <v>87</v>
      </c>
      <c r="C100" s="3" t="s">
        <v>35</v>
      </c>
      <c r="D100" t="s">
        <v>167</v>
      </c>
      <c r="E100" t="s">
        <v>350</v>
      </c>
      <c r="F100" t="s">
        <v>420</v>
      </c>
      <c r="G100" t="s">
        <v>421</v>
      </c>
      <c r="H100" t="s">
        <v>422</v>
      </c>
      <c r="I100" s="4">
        <v>4.99</v>
      </c>
      <c r="J100" t="s">
        <v>41</v>
      </c>
      <c r="K100" t="s">
        <v>57</v>
      </c>
      <c r="L100" t="s">
        <v>23</v>
      </c>
      <c r="M100" t="s">
        <v>85</v>
      </c>
    </row>
    <row r="101" spans="1:14" x14ac:dyDescent="0.3">
      <c r="A101" s="3" t="s">
        <v>423</v>
      </c>
      <c r="B101" s="3" t="s">
        <v>59</v>
      </c>
      <c r="C101" s="3" t="s">
        <v>16</v>
      </c>
      <c r="D101" t="s">
        <v>68</v>
      </c>
      <c r="E101" t="s">
        <v>69</v>
      </c>
      <c r="F101" t="s">
        <v>69</v>
      </c>
      <c r="G101" t="s">
        <v>424</v>
      </c>
      <c r="H101" t="s">
        <v>425</v>
      </c>
      <c r="I101" s="4">
        <v>3.94</v>
      </c>
      <c r="J101" t="s">
        <v>41</v>
      </c>
      <c r="K101" t="s">
        <v>57</v>
      </c>
      <c r="L101" t="s">
        <v>119</v>
      </c>
      <c r="M101" t="s">
        <v>85</v>
      </c>
      <c r="N101" s="1">
        <v>45122</v>
      </c>
    </row>
    <row r="102" spans="1:14" x14ac:dyDescent="0.3">
      <c r="A102" s="3" t="s">
        <v>426</v>
      </c>
      <c r="B102" s="3" t="s">
        <v>131</v>
      </c>
      <c r="C102" s="3" t="s">
        <v>35</v>
      </c>
      <c r="D102" t="s">
        <v>36</v>
      </c>
      <c r="E102" t="s">
        <v>175</v>
      </c>
      <c r="F102" t="s">
        <v>175</v>
      </c>
      <c r="G102" t="s">
        <v>427</v>
      </c>
      <c r="H102" t="s">
        <v>428</v>
      </c>
      <c r="I102" s="4">
        <v>3.67</v>
      </c>
      <c r="J102" t="s">
        <v>41</v>
      </c>
      <c r="K102" t="s">
        <v>42</v>
      </c>
      <c r="L102" t="s">
        <v>119</v>
      </c>
      <c r="M102" t="s">
        <v>85</v>
      </c>
      <c r="N102" s="1">
        <v>45341</v>
      </c>
    </row>
    <row r="103" spans="1:14" x14ac:dyDescent="0.3">
      <c r="A103" s="3" t="s">
        <v>429</v>
      </c>
      <c r="B103" s="3" t="s">
        <v>34</v>
      </c>
      <c r="C103" s="3" t="s">
        <v>35</v>
      </c>
      <c r="D103" t="s">
        <v>114</v>
      </c>
      <c r="E103" t="s">
        <v>150</v>
      </c>
      <c r="F103" t="s">
        <v>151</v>
      </c>
      <c r="G103" t="s">
        <v>430</v>
      </c>
      <c r="H103" t="s">
        <v>431</v>
      </c>
      <c r="I103" s="4">
        <v>1.57</v>
      </c>
      <c r="J103" t="s">
        <v>41</v>
      </c>
      <c r="K103" t="s">
        <v>42</v>
      </c>
      <c r="L103" t="s">
        <v>23</v>
      </c>
      <c r="M103" t="s">
        <v>85</v>
      </c>
    </row>
    <row r="104" spans="1:14" x14ac:dyDescent="0.3">
      <c r="A104" s="3" t="s">
        <v>432</v>
      </c>
      <c r="B104" s="3" t="s">
        <v>52</v>
      </c>
      <c r="C104" s="3" t="s">
        <v>35</v>
      </c>
      <c r="D104" t="s">
        <v>167</v>
      </c>
      <c r="E104" t="s">
        <v>350</v>
      </c>
      <c r="F104" t="s">
        <v>350</v>
      </c>
      <c r="G104" t="s">
        <v>433</v>
      </c>
      <c r="H104" t="s">
        <v>434</v>
      </c>
      <c r="I104" s="4">
        <v>4.95</v>
      </c>
      <c r="J104" t="s">
        <v>73</v>
      </c>
      <c r="K104" t="s">
        <v>42</v>
      </c>
      <c r="L104" t="s">
        <v>23</v>
      </c>
      <c r="M104" t="s">
        <v>43</v>
      </c>
    </row>
    <row r="105" spans="1:14" x14ac:dyDescent="0.3">
      <c r="A105" s="3" t="s">
        <v>435</v>
      </c>
      <c r="B105" s="3" t="s">
        <v>158</v>
      </c>
      <c r="C105" s="3" t="s">
        <v>16</v>
      </c>
      <c r="D105" t="s">
        <v>68</v>
      </c>
      <c r="E105" t="s">
        <v>68</v>
      </c>
      <c r="F105" t="s">
        <v>436</v>
      </c>
      <c r="G105" t="s">
        <v>437</v>
      </c>
      <c r="H105" t="s">
        <v>438</v>
      </c>
      <c r="I105" s="4">
        <v>4.29</v>
      </c>
      <c r="J105" t="s">
        <v>73</v>
      </c>
      <c r="K105" t="s">
        <v>42</v>
      </c>
      <c r="L105" t="s">
        <v>23</v>
      </c>
      <c r="M105" t="s">
        <v>32</v>
      </c>
    </row>
    <row r="106" spans="1:14" x14ac:dyDescent="0.3">
      <c r="A106" s="3" t="s">
        <v>439</v>
      </c>
      <c r="B106" s="3" t="s">
        <v>124</v>
      </c>
      <c r="C106" s="3" t="s">
        <v>16</v>
      </c>
      <c r="D106" t="s">
        <v>75</v>
      </c>
      <c r="E106" t="s">
        <v>76</v>
      </c>
      <c r="F106" t="s">
        <v>440</v>
      </c>
      <c r="G106" t="s">
        <v>441</v>
      </c>
      <c r="H106" t="s">
        <v>442</v>
      </c>
      <c r="I106" s="4">
        <v>2.62</v>
      </c>
      <c r="J106" t="s">
        <v>73</v>
      </c>
      <c r="K106" t="s">
        <v>42</v>
      </c>
      <c r="L106" t="s">
        <v>23</v>
      </c>
      <c r="M106" t="s">
        <v>32</v>
      </c>
    </row>
    <row r="107" spans="1:14" x14ac:dyDescent="0.3">
      <c r="A107" s="3" t="s">
        <v>443</v>
      </c>
      <c r="B107" s="3" t="s">
        <v>103</v>
      </c>
      <c r="C107" s="3" t="s">
        <v>16</v>
      </c>
      <c r="D107" t="s">
        <v>27</v>
      </c>
      <c r="E107" t="s">
        <v>28</v>
      </c>
      <c r="F107" t="s">
        <v>163</v>
      </c>
      <c r="G107" t="s">
        <v>444</v>
      </c>
      <c r="H107" t="s">
        <v>445</v>
      </c>
      <c r="I107" s="4">
        <v>0.69</v>
      </c>
      <c r="J107" t="s">
        <v>50</v>
      </c>
      <c r="K107" t="s">
        <v>22</v>
      </c>
      <c r="L107" t="s">
        <v>23</v>
      </c>
      <c r="M107" t="s">
        <v>24</v>
      </c>
    </row>
    <row r="108" spans="1:14" x14ac:dyDescent="0.3">
      <c r="A108" s="3" t="s">
        <v>446</v>
      </c>
      <c r="B108" s="3" t="s">
        <v>52</v>
      </c>
      <c r="C108" s="3" t="s">
        <v>35</v>
      </c>
      <c r="D108" t="s">
        <v>36</v>
      </c>
      <c r="E108" t="s">
        <v>37</v>
      </c>
      <c r="F108" t="s">
        <v>38</v>
      </c>
      <c r="G108" t="s">
        <v>447</v>
      </c>
      <c r="H108" t="s">
        <v>448</v>
      </c>
      <c r="I108" s="4">
        <v>4.53</v>
      </c>
      <c r="J108" t="s">
        <v>50</v>
      </c>
      <c r="K108" t="s">
        <v>22</v>
      </c>
      <c r="L108" t="s">
        <v>23</v>
      </c>
      <c r="M108" t="s">
        <v>24</v>
      </c>
    </row>
    <row r="109" spans="1:14" x14ac:dyDescent="0.3">
      <c r="A109" s="3" t="s">
        <v>449</v>
      </c>
      <c r="B109" s="3" t="s">
        <v>158</v>
      </c>
      <c r="C109" s="3" t="s">
        <v>16</v>
      </c>
      <c r="D109" t="s">
        <v>104</v>
      </c>
      <c r="E109" t="s">
        <v>274</v>
      </c>
      <c r="F109" t="s">
        <v>450</v>
      </c>
      <c r="G109" t="s">
        <v>451</v>
      </c>
      <c r="H109" t="s">
        <v>452</v>
      </c>
      <c r="I109" s="4">
        <v>3.38</v>
      </c>
      <c r="J109" t="s">
        <v>50</v>
      </c>
      <c r="K109" t="s">
        <v>22</v>
      </c>
      <c r="L109" t="s">
        <v>23</v>
      </c>
      <c r="M109" t="s">
        <v>24</v>
      </c>
    </row>
    <row r="110" spans="1:14" x14ac:dyDescent="0.3">
      <c r="A110" s="3" t="s">
        <v>453</v>
      </c>
      <c r="B110" s="3" t="s">
        <v>103</v>
      </c>
      <c r="C110" s="3" t="s">
        <v>16</v>
      </c>
      <c r="D110" t="s">
        <v>27</v>
      </c>
      <c r="E110" t="s">
        <v>28</v>
      </c>
      <c r="F110" t="s">
        <v>29</v>
      </c>
      <c r="G110" t="s">
        <v>454</v>
      </c>
      <c r="H110" t="s">
        <v>78</v>
      </c>
      <c r="I110" s="4">
        <v>1.4</v>
      </c>
      <c r="J110" t="s">
        <v>50</v>
      </c>
      <c r="K110" t="s">
        <v>22</v>
      </c>
      <c r="L110" t="s">
        <v>23</v>
      </c>
      <c r="M110" t="s">
        <v>24</v>
      </c>
    </row>
    <row r="111" spans="1:14" x14ac:dyDescent="0.3">
      <c r="A111" s="3" t="s">
        <v>455</v>
      </c>
      <c r="B111" s="3" t="s">
        <v>287</v>
      </c>
      <c r="C111" s="3" t="s">
        <v>35</v>
      </c>
      <c r="D111" t="s">
        <v>114</v>
      </c>
      <c r="E111" t="s">
        <v>115</v>
      </c>
      <c r="F111" t="s">
        <v>400</v>
      </c>
      <c r="G111" t="s">
        <v>456</v>
      </c>
      <c r="H111" t="s">
        <v>457</v>
      </c>
      <c r="I111" s="4">
        <v>2.92</v>
      </c>
      <c r="J111" t="s">
        <v>21</v>
      </c>
      <c r="K111" t="s">
        <v>101</v>
      </c>
      <c r="L111" t="s">
        <v>23</v>
      </c>
      <c r="M111" t="s">
        <v>32</v>
      </c>
    </row>
    <row r="112" spans="1:14" x14ac:dyDescent="0.3">
      <c r="A112" s="3" t="s">
        <v>458</v>
      </c>
      <c r="B112" s="3" t="s">
        <v>131</v>
      </c>
      <c r="C112" s="3" t="s">
        <v>35</v>
      </c>
      <c r="D112" t="s">
        <v>167</v>
      </c>
      <c r="E112" t="s">
        <v>168</v>
      </c>
      <c r="F112" t="s">
        <v>459</v>
      </c>
      <c r="G112" t="s">
        <v>460</v>
      </c>
      <c r="H112" t="s">
        <v>461</v>
      </c>
      <c r="I112" s="4">
        <v>1.78</v>
      </c>
      <c r="J112" t="s">
        <v>41</v>
      </c>
      <c r="K112" t="s">
        <v>57</v>
      </c>
      <c r="L112" t="s">
        <v>23</v>
      </c>
      <c r="M112" t="s">
        <v>85</v>
      </c>
    </row>
    <row r="113" spans="1:14" x14ac:dyDescent="0.3">
      <c r="A113" s="3" t="s">
        <v>462</v>
      </c>
      <c r="B113" s="3" t="s">
        <v>194</v>
      </c>
      <c r="C113" s="3" t="s">
        <v>35</v>
      </c>
      <c r="D113" t="s">
        <v>167</v>
      </c>
      <c r="E113" t="s">
        <v>168</v>
      </c>
      <c r="F113" t="s">
        <v>463</v>
      </c>
      <c r="G113" t="s">
        <v>464</v>
      </c>
      <c r="H113" t="s">
        <v>465</v>
      </c>
      <c r="I113" s="4">
        <v>2.77</v>
      </c>
      <c r="J113" t="s">
        <v>21</v>
      </c>
      <c r="K113" t="s">
        <v>22</v>
      </c>
      <c r="L113" t="s">
        <v>23</v>
      </c>
      <c r="M113" t="s">
        <v>32</v>
      </c>
    </row>
    <row r="114" spans="1:14" x14ac:dyDescent="0.3">
      <c r="A114" s="3" t="s">
        <v>466</v>
      </c>
      <c r="B114" s="3" t="s">
        <v>63</v>
      </c>
      <c r="C114" s="3" t="s">
        <v>35</v>
      </c>
      <c r="D114" t="s">
        <v>114</v>
      </c>
      <c r="E114" t="s">
        <v>115</v>
      </c>
      <c r="F114" t="s">
        <v>229</v>
      </c>
      <c r="G114" t="s">
        <v>467</v>
      </c>
      <c r="H114" t="s">
        <v>448</v>
      </c>
      <c r="I114" s="4">
        <v>4.0999999999999996</v>
      </c>
      <c r="J114" t="s">
        <v>21</v>
      </c>
      <c r="K114" t="s">
        <v>101</v>
      </c>
      <c r="L114" t="s">
        <v>23</v>
      </c>
      <c r="M114" t="s">
        <v>32</v>
      </c>
    </row>
    <row r="115" spans="1:14" x14ac:dyDescent="0.3">
      <c r="A115" s="3" t="s">
        <v>468</v>
      </c>
      <c r="B115" s="3" t="s">
        <v>287</v>
      </c>
      <c r="C115" s="3" t="s">
        <v>35</v>
      </c>
      <c r="D115" t="s">
        <v>88</v>
      </c>
      <c r="E115" t="s">
        <v>180</v>
      </c>
      <c r="F115" t="s">
        <v>469</v>
      </c>
      <c r="G115" t="s">
        <v>470</v>
      </c>
      <c r="H115" t="s">
        <v>471</v>
      </c>
      <c r="I115" s="4">
        <v>2.96</v>
      </c>
      <c r="J115" t="s">
        <v>73</v>
      </c>
      <c r="K115" t="s">
        <v>57</v>
      </c>
      <c r="L115" t="s">
        <v>23</v>
      </c>
      <c r="M115" t="s">
        <v>32</v>
      </c>
    </row>
    <row r="116" spans="1:14" x14ac:dyDescent="0.3">
      <c r="A116" s="3" t="s">
        <v>472</v>
      </c>
      <c r="B116" s="3" t="s">
        <v>194</v>
      </c>
      <c r="C116" s="3" t="s">
        <v>35</v>
      </c>
      <c r="D116" t="s">
        <v>36</v>
      </c>
      <c r="E116" t="s">
        <v>53</v>
      </c>
      <c r="F116" t="s">
        <v>473</v>
      </c>
      <c r="G116" t="s">
        <v>474</v>
      </c>
      <c r="H116" t="s">
        <v>111</v>
      </c>
      <c r="I116" s="4">
        <v>2.76</v>
      </c>
      <c r="J116" t="s">
        <v>41</v>
      </c>
      <c r="K116" t="s">
        <v>42</v>
      </c>
      <c r="L116" t="s">
        <v>23</v>
      </c>
      <c r="M116" t="s">
        <v>43</v>
      </c>
    </row>
    <row r="117" spans="1:14" x14ac:dyDescent="0.3">
      <c r="A117" s="3" t="s">
        <v>475</v>
      </c>
      <c r="B117" s="3" t="s">
        <v>15</v>
      </c>
      <c r="C117" s="3" t="s">
        <v>16</v>
      </c>
      <c r="D117" t="s">
        <v>188</v>
      </c>
      <c r="E117" t="s">
        <v>188</v>
      </c>
      <c r="F117" t="s">
        <v>476</v>
      </c>
      <c r="G117" t="s">
        <v>477</v>
      </c>
      <c r="H117" t="s">
        <v>478</v>
      </c>
      <c r="I117" s="4">
        <v>4.49</v>
      </c>
      <c r="J117" t="s">
        <v>50</v>
      </c>
      <c r="K117" t="s">
        <v>22</v>
      </c>
      <c r="L117" t="s">
        <v>23</v>
      </c>
      <c r="M117" t="s">
        <v>24</v>
      </c>
    </row>
    <row r="118" spans="1:14" x14ac:dyDescent="0.3">
      <c r="A118" s="3" t="s">
        <v>479</v>
      </c>
      <c r="B118" s="3" t="s">
        <v>131</v>
      </c>
      <c r="C118" s="3" t="s">
        <v>35</v>
      </c>
      <c r="D118" t="s">
        <v>45</v>
      </c>
      <c r="E118" t="s">
        <v>45</v>
      </c>
      <c r="F118" t="s">
        <v>98</v>
      </c>
      <c r="G118" t="s">
        <v>480</v>
      </c>
      <c r="H118" t="s">
        <v>481</v>
      </c>
      <c r="I118" s="4">
        <v>2.38</v>
      </c>
      <c r="J118" t="s">
        <v>21</v>
      </c>
      <c r="K118" t="s">
        <v>101</v>
      </c>
      <c r="L118" t="s">
        <v>23</v>
      </c>
      <c r="M118" t="s">
        <v>32</v>
      </c>
    </row>
    <row r="119" spans="1:14" x14ac:dyDescent="0.3">
      <c r="A119" s="3" t="s">
        <v>482</v>
      </c>
      <c r="B119" s="3" t="s">
        <v>194</v>
      </c>
      <c r="C119" s="3" t="s">
        <v>35</v>
      </c>
      <c r="D119" t="s">
        <v>45</v>
      </c>
      <c r="E119" t="s">
        <v>138</v>
      </c>
      <c r="F119" t="s">
        <v>139</v>
      </c>
      <c r="G119" t="s">
        <v>483</v>
      </c>
      <c r="H119" t="s">
        <v>484</v>
      </c>
      <c r="I119" s="4">
        <v>0.95</v>
      </c>
      <c r="J119" t="s">
        <v>21</v>
      </c>
      <c r="K119" t="s">
        <v>22</v>
      </c>
      <c r="L119" t="s">
        <v>23</v>
      </c>
      <c r="M119" t="s">
        <v>32</v>
      </c>
    </row>
    <row r="120" spans="1:14" x14ac:dyDescent="0.3">
      <c r="A120" s="3" t="s">
        <v>485</v>
      </c>
      <c r="B120" s="3" t="s">
        <v>194</v>
      </c>
      <c r="C120" s="3" t="s">
        <v>35</v>
      </c>
      <c r="D120" t="s">
        <v>167</v>
      </c>
      <c r="E120" t="s">
        <v>168</v>
      </c>
      <c r="F120" t="s">
        <v>486</v>
      </c>
      <c r="G120" t="s">
        <v>487</v>
      </c>
      <c r="H120" t="s">
        <v>488</v>
      </c>
      <c r="I120" s="4">
        <v>0.83</v>
      </c>
      <c r="J120" t="s">
        <v>50</v>
      </c>
      <c r="K120" t="s">
        <v>22</v>
      </c>
      <c r="L120" t="s">
        <v>23</v>
      </c>
      <c r="M120" t="s">
        <v>24</v>
      </c>
    </row>
    <row r="121" spans="1:14" x14ac:dyDescent="0.3">
      <c r="A121" s="3" t="s">
        <v>489</v>
      </c>
      <c r="B121" s="3" t="s">
        <v>80</v>
      </c>
      <c r="C121" s="3" t="s">
        <v>16</v>
      </c>
      <c r="D121" t="s">
        <v>75</v>
      </c>
      <c r="E121" t="s">
        <v>76</v>
      </c>
      <c r="F121" t="s">
        <v>490</v>
      </c>
      <c r="G121" t="s">
        <v>491</v>
      </c>
      <c r="H121" t="s">
        <v>492</v>
      </c>
      <c r="I121" s="4">
        <v>4.92</v>
      </c>
      <c r="J121" t="s">
        <v>73</v>
      </c>
      <c r="K121" t="s">
        <v>42</v>
      </c>
      <c r="L121" t="s">
        <v>23</v>
      </c>
      <c r="M121" t="s">
        <v>32</v>
      </c>
    </row>
    <row r="122" spans="1:14" x14ac:dyDescent="0.3">
      <c r="A122" s="3" t="s">
        <v>493</v>
      </c>
      <c r="B122" s="3" t="s">
        <v>67</v>
      </c>
      <c r="C122" s="3" t="s">
        <v>16</v>
      </c>
      <c r="D122" t="s">
        <v>104</v>
      </c>
      <c r="E122" t="s">
        <v>105</v>
      </c>
      <c r="F122" t="s">
        <v>105</v>
      </c>
      <c r="G122" t="s">
        <v>494</v>
      </c>
      <c r="H122" t="s">
        <v>495</v>
      </c>
      <c r="I122" s="4">
        <v>0.62</v>
      </c>
      <c r="J122" t="s">
        <v>41</v>
      </c>
      <c r="K122" t="s">
        <v>42</v>
      </c>
      <c r="L122" t="s">
        <v>23</v>
      </c>
      <c r="M122" t="s">
        <v>85</v>
      </c>
    </row>
    <row r="123" spans="1:14" x14ac:dyDescent="0.3">
      <c r="A123" s="3" t="s">
        <v>496</v>
      </c>
      <c r="B123" s="3" t="s">
        <v>34</v>
      </c>
      <c r="C123" s="3" t="s">
        <v>35</v>
      </c>
      <c r="D123" t="s">
        <v>167</v>
      </c>
      <c r="E123" t="s">
        <v>350</v>
      </c>
      <c r="F123" t="s">
        <v>420</v>
      </c>
      <c r="G123" t="s">
        <v>497</v>
      </c>
      <c r="H123" t="s">
        <v>118</v>
      </c>
      <c r="I123" s="4">
        <v>2.15</v>
      </c>
      <c r="J123" t="s">
        <v>73</v>
      </c>
      <c r="K123" t="s">
        <v>57</v>
      </c>
      <c r="L123" t="s">
        <v>23</v>
      </c>
      <c r="M123" t="s">
        <v>32</v>
      </c>
    </row>
    <row r="124" spans="1:14" x14ac:dyDescent="0.3">
      <c r="A124" s="3" t="s">
        <v>498</v>
      </c>
      <c r="B124" s="3" t="s">
        <v>287</v>
      </c>
      <c r="C124" s="3" t="s">
        <v>35</v>
      </c>
      <c r="D124" t="s">
        <v>167</v>
      </c>
      <c r="E124" t="s">
        <v>168</v>
      </c>
      <c r="F124" t="s">
        <v>168</v>
      </c>
      <c r="G124" t="s">
        <v>499</v>
      </c>
      <c r="H124" t="s">
        <v>500</v>
      </c>
      <c r="I124" s="4">
        <v>1.22</v>
      </c>
      <c r="J124" t="s">
        <v>41</v>
      </c>
      <c r="K124" t="s">
        <v>42</v>
      </c>
      <c r="L124" t="s">
        <v>119</v>
      </c>
      <c r="M124" t="s">
        <v>85</v>
      </c>
      <c r="N124" s="1">
        <v>45520</v>
      </c>
    </row>
    <row r="125" spans="1:14" x14ac:dyDescent="0.3">
      <c r="A125" s="3" t="s">
        <v>501</v>
      </c>
      <c r="B125" s="3" t="s">
        <v>63</v>
      </c>
      <c r="C125" s="3" t="s">
        <v>35</v>
      </c>
      <c r="D125" t="s">
        <v>88</v>
      </c>
      <c r="E125" t="s">
        <v>89</v>
      </c>
      <c r="F125" t="s">
        <v>94</v>
      </c>
      <c r="G125" t="s">
        <v>502</v>
      </c>
      <c r="H125" t="s">
        <v>503</v>
      </c>
      <c r="I125" s="4">
        <v>4.6500000000000004</v>
      </c>
      <c r="J125" t="s">
        <v>21</v>
      </c>
      <c r="K125" t="s">
        <v>22</v>
      </c>
      <c r="L125" t="s">
        <v>23</v>
      </c>
      <c r="M125" t="s">
        <v>32</v>
      </c>
    </row>
    <row r="126" spans="1:14" x14ac:dyDescent="0.3">
      <c r="A126" s="3" t="s">
        <v>504</v>
      </c>
      <c r="B126" s="3" t="s">
        <v>287</v>
      </c>
      <c r="C126" s="3" t="s">
        <v>35</v>
      </c>
      <c r="D126" t="s">
        <v>36</v>
      </c>
      <c r="E126" t="s">
        <v>175</v>
      </c>
      <c r="F126" t="s">
        <v>505</v>
      </c>
      <c r="G126" t="s">
        <v>506</v>
      </c>
      <c r="H126" t="s">
        <v>507</v>
      </c>
      <c r="I126" s="4">
        <v>2.89</v>
      </c>
      <c r="J126" t="s">
        <v>41</v>
      </c>
      <c r="K126" t="s">
        <v>57</v>
      </c>
      <c r="L126" t="s">
        <v>119</v>
      </c>
      <c r="M126" t="s">
        <v>85</v>
      </c>
      <c r="N126" s="1">
        <v>44884</v>
      </c>
    </row>
    <row r="127" spans="1:14" x14ac:dyDescent="0.3">
      <c r="A127" s="3" t="s">
        <v>508</v>
      </c>
      <c r="B127" s="3" t="s">
        <v>87</v>
      </c>
      <c r="C127" s="3" t="s">
        <v>35</v>
      </c>
      <c r="D127" t="s">
        <v>167</v>
      </c>
      <c r="E127" t="s">
        <v>350</v>
      </c>
      <c r="F127" t="s">
        <v>509</v>
      </c>
      <c r="G127" t="s">
        <v>510</v>
      </c>
      <c r="H127" t="s">
        <v>511</v>
      </c>
      <c r="I127" s="4">
        <v>4.5</v>
      </c>
      <c r="J127" t="s">
        <v>21</v>
      </c>
      <c r="K127" t="s">
        <v>101</v>
      </c>
      <c r="L127" t="s">
        <v>23</v>
      </c>
      <c r="M127" t="s">
        <v>32</v>
      </c>
    </row>
    <row r="128" spans="1:14" x14ac:dyDescent="0.3">
      <c r="A128" s="3" t="s">
        <v>512</v>
      </c>
      <c r="B128" s="3" t="s">
        <v>103</v>
      </c>
      <c r="C128" s="3" t="s">
        <v>16</v>
      </c>
      <c r="D128" t="s">
        <v>188</v>
      </c>
      <c r="E128" t="s">
        <v>189</v>
      </c>
      <c r="F128" t="s">
        <v>189</v>
      </c>
      <c r="G128" t="s">
        <v>513</v>
      </c>
      <c r="H128" t="s">
        <v>514</v>
      </c>
      <c r="I128" s="4">
        <v>1.71</v>
      </c>
      <c r="J128" t="s">
        <v>73</v>
      </c>
      <c r="K128" t="s">
        <v>101</v>
      </c>
      <c r="L128" t="s">
        <v>23</v>
      </c>
      <c r="M128" t="s">
        <v>32</v>
      </c>
    </row>
    <row r="129" spans="1:14" x14ac:dyDescent="0.3">
      <c r="A129" s="3" t="s">
        <v>515</v>
      </c>
      <c r="B129" s="3" t="s">
        <v>287</v>
      </c>
      <c r="C129" s="3" t="s">
        <v>35</v>
      </c>
      <c r="D129" t="s">
        <v>88</v>
      </c>
      <c r="E129" t="s">
        <v>89</v>
      </c>
      <c r="F129" t="s">
        <v>180</v>
      </c>
      <c r="G129" t="s">
        <v>516</v>
      </c>
      <c r="H129" t="s">
        <v>517</v>
      </c>
      <c r="I129" s="4">
        <v>1.92</v>
      </c>
      <c r="J129" t="s">
        <v>41</v>
      </c>
      <c r="K129" t="s">
        <v>42</v>
      </c>
      <c r="L129" t="s">
        <v>119</v>
      </c>
      <c r="M129" t="s">
        <v>85</v>
      </c>
      <c r="N129" s="1">
        <v>45182</v>
      </c>
    </row>
    <row r="130" spans="1:14" x14ac:dyDescent="0.3">
      <c r="A130" s="3" t="s">
        <v>518</v>
      </c>
      <c r="B130" s="3" t="s">
        <v>287</v>
      </c>
      <c r="C130" s="3" t="s">
        <v>35</v>
      </c>
      <c r="D130" t="s">
        <v>45</v>
      </c>
      <c r="E130" t="s">
        <v>46</v>
      </c>
      <c r="F130" t="s">
        <v>109</v>
      </c>
      <c r="G130" s="2">
        <v>46303</v>
      </c>
      <c r="H130" t="s">
        <v>519</v>
      </c>
      <c r="I130" s="4">
        <v>4.9800000000000004</v>
      </c>
      <c r="J130" t="s">
        <v>50</v>
      </c>
      <c r="K130" t="s">
        <v>22</v>
      </c>
      <c r="L130" t="s">
        <v>23</v>
      </c>
      <c r="M130" t="s">
        <v>24</v>
      </c>
    </row>
    <row r="131" spans="1:14" x14ac:dyDescent="0.3">
      <c r="A131" s="3" t="s">
        <v>520</v>
      </c>
      <c r="B131" s="3" t="s">
        <v>15</v>
      </c>
      <c r="C131" s="3" t="s">
        <v>16</v>
      </c>
      <c r="D131" t="s">
        <v>75</v>
      </c>
      <c r="E131" t="s">
        <v>76</v>
      </c>
      <c r="F131" t="s">
        <v>490</v>
      </c>
      <c r="G131" t="s">
        <v>521</v>
      </c>
      <c r="H131" t="s">
        <v>522</v>
      </c>
      <c r="I131" s="4">
        <v>3.35</v>
      </c>
      <c r="J131" t="s">
        <v>50</v>
      </c>
      <c r="K131" t="s">
        <v>22</v>
      </c>
      <c r="L131" t="s">
        <v>23</v>
      </c>
      <c r="M131" t="s">
        <v>24</v>
      </c>
    </row>
    <row r="132" spans="1:14" x14ac:dyDescent="0.3">
      <c r="A132" s="3" t="s">
        <v>523</v>
      </c>
      <c r="B132" s="3" t="s">
        <v>80</v>
      </c>
      <c r="C132" s="3" t="s">
        <v>16</v>
      </c>
      <c r="D132" t="s">
        <v>68</v>
      </c>
      <c r="E132" t="s">
        <v>69</v>
      </c>
      <c r="F132" t="s">
        <v>524</v>
      </c>
      <c r="G132" t="s">
        <v>525</v>
      </c>
      <c r="H132" t="s">
        <v>382</v>
      </c>
      <c r="I132" s="4">
        <v>2.0099999999999998</v>
      </c>
      <c r="J132" t="s">
        <v>73</v>
      </c>
      <c r="K132" t="s">
        <v>57</v>
      </c>
      <c r="L132" t="s">
        <v>23</v>
      </c>
      <c r="M132" t="s">
        <v>43</v>
      </c>
    </row>
    <row r="133" spans="1:14" x14ac:dyDescent="0.3">
      <c r="A133" s="3" t="s">
        <v>526</v>
      </c>
      <c r="B133" s="3" t="s">
        <v>59</v>
      </c>
      <c r="C133" s="3" t="s">
        <v>16</v>
      </c>
      <c r="D133" t="s">
        <v>68</v>
      </c>
      <c r="E133" t="s">
        <v>68</v>
      </c>
      <c r="F133" t="s">
        <v>527</v>
      </c>
      <c r="G133" t="s">
        <v>528</v>
      </c>
      <c r="H133" t="s">
        <v>529</v>
      </c>
      <c r="I133" s="4">
        <v>2.16</v>
      </c>
      <c r="J133" t="s">
        <v>50</v>
      </c>
      <c r="K133" t="s">
        <v>22</v>
      </c>
      <c r="L133" t="s">
        <v>23</v>
      </c>
      <c r="M133" t="s">
        <v>24</v>
      </c>
    </row>
    <row r="134" spans="1:14" x14ac:dyDescent="0.3">
      <c r="A134" s="3" t="s">
        <v>530</v>
      </c>
      <c r="B134" s="3" t="s">
        <v>52</v>
      </c>
      <c r="C134" s="3" t="s">
        <v>35</v>
      </c>
      <c r="D134" t="s">
        <v>88</v>
      </c>
      <c r="E134" t="s">
        <v>180</v>
      </c>
      <c r="F134" t="s">
        <v>180</v>
      </c>
      <c r="G134" t="s">
        <v>531</v>
      </c>
      <c r="H134" t="s">
        <v>532</v>
      </c>
      <c r="I134" s="4">
        <v>3.28</v>
      </c>
      <c r="J134" t="s">
        <v>73</v>
      </c>
      <c r="K134" t="s">
        <v>57</v>
      </c>
      <c r="L134" t="s">
        <v>23</v>
      </c>
      <c r="M134" t="s">
        <v>32</v>
      </c>
    </row>
    <row r="135" spans="1:14" x14ac:dyDescent="0.3">
      <c r="A135" s="3" t="s">
        <v>533</v>
      </c>
      <c r="B135" s="3" t="s">
        <v>87</v>
      </c>
      <c r="C135" s="3" t="s">
        <v>35</v>
      </c>
      <c r="D135" t="s">
        <v>45</v>
      </c>
      <c r="E135" t="s">
        <v>138</v>
      </c>
      <c r="F135" t="s">
        <v>240</v>
      </c>
      <c r="G135" t="s">
        <v>534</v>
      </c>
      <c r="H135" t="s">
        <v>535</v>
      </c>
      <c r="I135" s="4">
        <v>1.02</v>
      </c>
      <c r="J135" t="s">
        <v>73</v>
      </c>
      <c r="K135" t="s">
        <v>101</v>
      </c>
      <c r="L135" t="s">
        <v>23</v>
      </c>
      <c r="M135" t="s">
        <v>43</v>
      </c>
    </row>
    <row r="136" spans="1:14" x14ac:dyDescent="0.3">
      <c r="A136" s="3" t="s">
        <v>536</v>
      </c>
      <c r="B136" s="3" t="s">
        <v>80</v>
      </c>
      <c r="C136" s="3" t="s">
        <v>16</v>
      </c>
      <c r="D136" t="s">
        <v>17</v>
      </c>
      <c r="E136" t="s">
        <v>17</v>
      </c>
      <c r="F136" t="s">
        <v>339</v>
      </c>
      <c r="G136" t="s">
        <v>537</v>
      </c>
      <c r="H136" t="s">
        <v>538</v>
      </c>
      <c r="I136" s="4">
        <v>3.88</v>
      </c>
      <c r="J136" t="s">
        <v>73</v>
      </c>
      <c r="K136" t="s">
        <v>101</v>
      </c>
      <c r="L136" t="s">
        <v>23</v>
      </c>
      <c r="M136" t="s">
        <v>43</v>
      </c>
    </row>
    <row r="137" spans="1:14" x14ac:dyDescent="0.3">
      <c r="A137" s="3" t="s">
        <v>539</v>
      </c>
      <c r="B137" s="3" t="s">
        <v>87</v>
      </c>
      <c r="C137" s="3" t="s">
        <v>35</v>
      </c>
      <c r="D137" t="s">
        <v>167</v>
      </c>
      <c r="E137" t="s">
        <v>350</v>
      </c>
      <c r="F137" t="s">
        <v>420</v>
      </c>
      <c r="G137" t="s">
        <v>540</v>
      </c>
      <c r="H137" t="s">
        <v>541</v>
      </c>
      <c r="I137" s="4">
        <v>4.63</v>
      </c>
      <c r="J137" t="s">
        <v>73</v>
      </c>
      <c r="K137" t="s">
        <v>42</v>
      </c>
      <c r="L137" t="s">
        <v>23</v>
      </c>
      <c r="M137" t="s">
        <v>32</v>
      </c>
    </row>
    <row r="138" spans="1:14" x14ac:dyDescent="0.3">
      <c r="A138" s="3" t="s">
        <v>542</v>
      </c>
      <c r="B138" s="3" t="s">
        <v>67</v>
      </c>
      <c r="C138" s="3" t="s">
        <v>16</v>
      </c>
      <c r="D138" t="s">
        <v>188</v>
      </c>
      <c r="E138" t="s">
        <v>189</v>
      </c>
      <c r="F138" t="s">
        <v>543</v>
      </c>
      <c r="G138" t="s">
        <v>544</v>
      </c>
      <c r="H138" t="s">
        <v>545</v>
      </c>
      <c r="I138" s="4">
        <v>1.53</v>
      </c>
      <c r="J138" t="s">
        <v>21</v>
      </c>
      <c r="K138" t="s">
        <v>101</v>
      </c>
      <c r="L138" t="s">
        <v>23</v>
      </c>
      <c r="M138" t="s">
        <v>24</v>
      </c>
    </row>
    <row r="139" spans="1:14" x14ac:dyDescent="0.3">
      <c r="A139" s="3" t="s">
        <v>546</v>
      </c>
      <c r="B139" s="3" t="s">
        <v>80</v>
      </c>
      <c r="C139" s="3" t="s">
        <v>16</v>
      </c>
      <c r="D139" t="s">
        <v>17</v>
      </c>
      <c r="E139" t="s">
        <v>81</v>
      </c>
      <c r="F139" t="s">
        <v>81</v>
      </c>
      <c r="G139" t="s">
        <v>547</v>
      </c>
      <c r="H139" t="s">
        <v>548</v>
      </c>
      <c r="I139" s="4">
        <v>3.04</v>
      </c>
      <c r="J139" t="s">
        <v>73</v>
      </c>
      <c r="K139" t="s">
        <v>57</v>
      </c>
      <c r="L139" t="s">
        <v>23</v>
      </c>
      <c r="M139" t="s">
        <v>32</v>
      </c>
    </row>
    <row r="140" spans="1:14" x14ac:dyDescent="0.3">
      <c r="A140" s="3" t="s">
        <v>549</v>
      </c>
      <c r="B140" s="3" t="s">
        <v>124</v>
      </c>
      <c r="C140" s="3" t="s">
        <v>16</v>
      </c>
      <c r="D140" t="s">
        <v>27</v>
      </c>
      <c r="E140" t="s">
        <v>28</v>
      </c>
      <c r="F140" t="s">
        <v>28</v>
      </c>
      <c r="G140" t="s">
        <v>550</v>
      </c>
      <c r="H140" t="s">
        <v>551</v>
      </c>
      <c r="I140" s="4">
        <v>0.7</v>
      </c>
      <c r="J140" t="s">
        <v>50</v>
      </c>
      <c r="K140" t="s">
        <v>22</v>
      </c>
      <c r="L140" t="s">
        <v>23</v>
      </c>
      <c r="M140" t="s">
        <v>24</v>
      </c>
    </row>
    <row r="141" spans="1:14" x14ac:dyDescent="0.3">
      <c r="A141" s="3" t="s">
        <v>552</v>
      </c>
      <c r="B141" s="3" t="s">
        <v>34</v>
      </c>
      <c r="C141" s="3" t="s">
        <v>35</v>
      </c>
      <c r="D141" t="s">
        <v>45</v>
      </c>
      <c r="E141" t="s">
        <v>138</v>
      </c>
      <c r="F141" t="s">
        <v>553</v>
      </c>
      <c r="G141" t="s">
        <v>554</v>
      </c>
      <c r="H141" t="s">
        <v>555</v>
      </c>
      <c r="I141" s="4">
        <v>3.5</v>
      </c>
      <c r="J141" t="s">
        <v>73</v>
      </c>
      <c r="K141" t="s">
        <v>42</v>
      </c>
      <c r="L141" t="s">
        <v>23</v>
      </c>
      <c r="M141" t="s">
        <v>43</v>
      </c>
    </row>
    <row r="142" spans="1:14" x14ac:dyDescent="0.3">
      <c r="A142" s="3" t="s">
        <v>556</v>
      </c>
      <c r="B142" s="3" t="s">
        <v>124</v>
      </c>
      <c r="C142" s="3" t="s">
        <v>16</v>
      </c>
      <c r="D142" t="s">
        <v>68</v>
      </c>
      <c r="E142" t="s">
        <v>69</v>
      </c>
      <c r="F142" t="s">
        <v>524</v>
      </c>
      <c r="G142" t="s">
        <v>557</v>
      </c>
      <c r="H142" t="s">
        <v>452</v>
      </c>
      <c r="I142" s="4">
        <v>1.26</v>
      </c>
      <c r="J142" t="s">
        <v>73</v>
      </c>
      <c r="K142" t="s">
        <v>101</v>
      </c>
      <c r="L142" t="s">
        <v>23</v>
      </c>
      <c r="M142" t="s">
        <v>32</v>
      </c>
    </row>
    <row r="143" spans="1:14" x14ac:dyDescent="0.3">
      <c r="A143" s="3" t="s">
        <v>558</v>
      </c>
      <c r="B143" s="3" t="s">
        <v>158</v>
      </c>
      <c r="C143" s="3" t="s">
        <v>16</v>
      </c>
      <c r="D143" t="s">
        <v>17</v>
      </c>
      <c r="E143" t="s">
        <v>17</v>
      </c>
      <c r="F143" t="s">
        <v>559</v>
      </c>
      <c r="G143" t="s">
        <v>560</v>
      </c>
      <c r="H143" t="s">
        <v>561</v>
      </c>
      <c r="I143" s="4">
        <v>0.95</v>
      </c>
      <c r="J143" t="s">
        <v>41</v>
      </c>
      <c r="K143" t="s">
        <v>57</v>
      </c>
      <c r="L143" t="s">
        <v>23</v>
      </c>
      <c r="M143" t="s">
        <v>43</v>
      </c>
    </row>
    <row r="144" spans="1:14" x14ac:dyDescent="0.3">
      <c r="A144" s="3" t="s">
        <v>562</v>
      </c>
      <c r="B144" s="3" t="s">
        <v>124</v>
      </c>
      <c r="C144" s="3" t="s">
        <v>16</v>
      </c>
      <c r="D144" t="s">
        <v>104</v>
      </c>
      <c r="E144" t="s">
        <v>104</v>
      </c>
      <c r="F144" t="s">
        <v>105</v>
      </c>
      <c r="G144" t="s">
        <v>563</v>
      </c>
      <c r="H144" t="s">
        <v>564</v>
      </c>
      <c r="I144" s="4">
        <v>4.63</v>
      </c>
      <c r="J144" t="s">
        <v>50</v>
      </c>
      <c r="K144" t="s">
        <v>22</v>
      </c>
      <c r="L144" t="s">
        <v>23</v>
      </c>
      <c r="M144" t="s">
        <v>24</v>
      </c>
    </row>
    <row r="145" spans="1:14" x14ac:dyDescent="0.3">
      <c r="A145" s="3" t="s">
        <v>565</v>
      </c>
      <c r="B145" s="3" t="s">
        <v>287</v>
      </c>
      <c r="C145" s="3" t="s">
        <v>35</v>
      </c>
      <c r="D145" t="s">
        <v>36</v>
      </c>
      <c r="E145" t="s">
        <v>37</v>
      </c>
      <c r="F145" t="s">
        <v>566</v>
      </c>
      <c r="G145" t="s">
        <v>567</v>
      </c>
      <c r="H145" t="s">
        <v>568</v>
      </c>
      <c r="I145" s="4">
        <v>2.27</v>
      </c>
      <c r="J145" t="s">
        <v>21</v>
      </c>
      <c r="K145" t="s">
        <v>101</v>
      </c>
      <c r="L145" t="s">
        <v>23</v>
      </c>
      <c r="M145" t="s">
        <v>32</v>
      </c>
    </row>
    <row r="146" spans="1:14" x14ac:dyDescent="0.3">
      <c r="A146" s="3" t="s">
        <v>569</v>
      </c>
      <c r="B146" s="3" t="s">
        <v>63</v>
      </c>
      <c r="C146" s="3" t="s">
        <v>35</v>
      </c>
      <c r="D146" t="s">
        <v>36</v>
      </c>
      <c r="E146" t="s">
        <v>175</v>
      </c>
      <c r="F146" t="s">
        <v>175</v>
      </c>
      <c r="G146" t="s">
        <v>570</v>
      </c>
      <c r="H146" t="s">
        <v>571</v>
      </c>
      <c r="I146" s="4">
        <v>4.2699999999999996</v>
      </c>
      <c r="J146" t="s">
        <v>73</v>
      </c>
      <c r="K146" t="s">
        <v>57</v>
      </c>
      <c r="L146" t="s">
        <v>23</v>
      </c>
      <c r="M146" t="s">
        <v>43</v>
      </c>
    </row>
    <row r="147" spans="1:14" x14ac:dyDescent="0.3">
      <c r="A147" s="3" t="s">
        <v>572</v>
      </c>
      <c r="B147" s="3" t="s">
        <v>87</v>
      </c>
      <c r="C147" s="3" t="s">
        <v>35</v>
      </c>
      <c r="D147" t="s">
        <v>36</v>
      </c>
      <c r="E147" t="s">
        <v>53</v>
      </c>
      <c r="F147" t="s">
        <v>53</v>
      </c>
      <c r="G147" t="s">
        <v>573</v>
      </c>
      <c r="H147" t="s">
        <v>574</v>
      </c>
      <c r="I147" s="4">
        <v>3.76</v>
      </c>
      <c r="J147" t="s">
        <v>21</v>
      </c>
      <c r="K147" t="s">
        <v>22</v>
      </c>
      <c r="L147" t="s">
        <v>23</v>
      </c>
      <c r="M147" t="s">
        <v>32</v>
      </c>
    </row>
    <row r="148" spans="1:14" x14ac:dyDescent="0.3">
      <c r="A148" s="3" t="s">
        <v>575</v>
      </c>
      <c r="B148" s="3" t="s">
        <v>26</v>
      </c>
      <c r="C148" s="3" t="s">
        <v>16</v>
      </c>
      <c r="D148" t="s">
        <v>104</v>
      </c>
      <c r="E148" t="s">
        <v>274</v>
      </c>
      <c r="F148" t="s">
        <v>440</v>
      </c>
      <c r="G148" t="s">
        <v>576</v>
      </c>
      <c r="H148" t="s">
        <v>577</v>
      </c>
      <c r="I148" s="4">
        <v>4.0999999999999996</v>
      </c>
      <c r="J148" t="s">
        <v>41</v>
      </c>
      <c r="K148" t="s">
        <v>42</v>
      </c>
      <c r="L148" t="s">
        <v>119</v>
      </c>
      <c r="M148" t="s">
        <v>85</v>
      </c>
      <c r="N148" s="1">
        <v>44919</v>
      </c>
    </row>
    <row r="149" spans="1:14" x14ac:dyDescent="0.3">
      <c r="A149" s="3" t="s">
        <v>578</v>
      </c>
      <c r="B149" s="3" t="s">
        <v>131</v>
      </c>
      <c r="C149" s="3" t="s">
        <v>35</v>
      </c>
      <c r="D149" t="s">
        <v>167</v>
      </c>
      <c r="E149" t="s">
        <v>350</v>
      </c>
      <c r="F149" t="s">
        <v>420</v>
      </c>
      <c r="G149" t="s">
        <v>579</v>
      </c>
      <c r="H149" t="s">
        <v>580</v>
      </c>
      <c r="I149" s="4">
        <v>2.94</v>
      </c>
      <c r="J149" t="s">
        <v>50</v>
      </c>
      <c r="K149" t="s">
        <v>22</v>
      </c>
      <c r="L149" t="s">
        <v>23</v>
      </c>
      <c r="M149" t="s">
        <v>24</v>
      </c>
    </row>
    <row r="150" spans="1:14" x14ac:dyDescent="0.3">
      <c r="A150" s="3" t="s">
        <v>581</v>
      </c>
      <c r="B150" s="3" t="s">
        <v>67</v>
      </c>
      <c r="C150" s="3" t="s">
        <v>16</v>
      </c>
      <c r="D150" t="s">
        <v>68</v>
      </c>
      <c r="E150" t="s">
        <v>436</v>
      </c>
      <c r="F150" t="s">
        <v>582</v>
      </c>
      <c r="G150" t="s">
        <v>583</v>
      </c>
      <c r="H150" t="s">
        <v>584</v>
      </c>
      <c r="I150" s="4">
        <v>4.13</v>
      </c>
      <c r="J150" t="s">
        <v>73</v>
      </c>
      <c r="K150" t="s">
        <v>57</v>
      </c>
      <c r="L150" t="s">
        <v>23</v>
      </c>
      <c r="M150" t="s">
        <v>32</v>
      </c>
    </row>
    <row r="151" spans="1:14" x14ac:dyDescent="0.3">
      <c r="A151" s="3" t="s">
        <v>585</v>
      </c>
      <c r="B151" s="3" t="s">
        <v>103</v>
      </c>
      <c r="C151" s="3" t="s">
        <v>16</v>
      </c>
      <c r="D151" t="s">
        <v>27</v>
      </c>
      <c r="E151" t="s">
        <v>93</v>
      </c>
      <c r="F151" t="s">
        <v>270</v>
      </c>
      <c r="G151" t="s">
        <v>586</v>
      </c>
      <c r="H151" t="s">
        <v>587</v>
      </c>
      <c r="I151" s="4">
        <v>2.38</v>
      </c>
      <c r="J151" t="s">
        <v>21</v>
      </c>
      <c r="K151" t="s">
        <v>22</v>
      </c>
      <c r="L151" t="s">
        <v>23</v>
      </c>
      <c r="M151" t="s">
        <v>32</v>
      </c>
    </row>
    <row r="152" spans="1:14" x14ac:dyDescent="0.3">
      <c r="A152" s="3" t="s">
        <v>588</v>
      </c>
      <c r="B152" s="3" t="s">
        <v>52</v>
      </c>
      <c r="C152" s="3" t="s">
        <v>35</v>
      </c>
      <c r="D152" t="s">
        <v>45</v>
      </c>
      <c r="E152" t="s">
        <v>46</v>
      </c>
      <c r="F152" t="s">
        <v>589</v>
      </c>
      <c r="G152" t="s">
        <v>590</v>
      </c>
      <c r="H152" t="s">
        <v>591</v>
      </c>
      <c r="I152" s="4">
        <v>1.61</v>
      </c>
      <c r="J152" t="s">
        <v>73</v>
      </c>
      <c r="K152" t="s">
        <v>101</v>
      </c>
      <c r="L152" t="s">
        <v>23</v>
      </c>
      <c r="M152" t="s">
        <v>43</v>
      </c>
    </row>
    <row r="153" spans="1:14" x14ac:dyDescent="0.3">
      <c r="A153" s="3" t="s">
        <v>592</v>
      </c>
      <c r="B153" s="3" t="s">
        <v>287</v>
      </c>
      <c r="C153" s="3" t="s">
        <v>35</v>
      </c>
      <c r="D153" t="s">
        <v>88</v>
      </c>
      <c r="E153" t="s">
        <v>89</v>
      </c>
      <c r="F153" t="s">
        <v>593</v>
      </c>
      <c r="G153" t="s">
        <v>594</v>
      </c>
      <c r="H153" t="s">
        <v>595</v>
      </c>
      <c r="I153" s="4">
        <v>1.91</v>
      </c>
      <c r="J153" t="s">
        <v>73</v>
      </c>
      <c r="K153" t="s">
        <v>57</v>
      </c>
      <c r="L153" t="s">
        <v>23</v>
      </c>
      <c r="M153" t="s">
        <v>43</v>
      </c>
    </row>
    <row r="154" spans="1:14" x14ac:dyDescent="0.3">
      <c r="A154" s="3" t="s">
        <v>596</v>
      </c>
      <c r="B154" s="3" t="s">
        <v>15</v>
      </c>
      <c r="C154" s="3" t="s">
        <v>16</v>
      </c>
      <c r="D154" t="s">
        <v>75</v>
      </c>
      <c r="E154" t="s">
        <v>251</v>
      </c>
      <c r="F154" t="s">
        <v>597</v>
      </c>
      <c r="G154" t="s">
        <v>598</v>
      </c>
      <c r="H154" t="s">
        <v>599</v>
      </c>
      <c r="I154" s="4">
        <v>2.12</v>
      </c>
      <c r="J154" t="s">
        <v>21</v>
      </c>
      <c r="K154" t="s">
        <v>22</v>
      </c>
      <c r="L154" t="s">
        <v>23</v>
      </c>
      <c r="M154" t="s">
        <v>32</v>
      </c>
    </row>
    <row r="155" spans="1:14" x14ac:dyDescent="0.3">
      <c r="A155" s="3" t="s">
        <v>600</v>
      </c>
      <c r="B155" s="3" t="s">
        <v>80</v>
      </c>
      <c r="C155" s="3" t="s">
        <v>16</v>
      </c>
      <c r="D155" t="s">
        <v>17</v>
      </c>
      <c r="E155" t="s">
        <v>17</v>
      </c>
      <c r="F155" t="s">
        <v>601</v>
      </c>
      <c r="G155" t="s">
        <v>602</v>
      </c>
      <c r="H155" t="s">
        <v>603</v>
      </c>
      <c r="I155" s="4">
        <v>0.96</v>
      </c>
      <c r="J155" t="s">
        <v>21</v>
      </c>
      <c r="K155" t="s">
        <v>101</v>
      </c>
      <c r="L155" t="s">
        <v>23</v>
      </c>
      <c r="M155" t="s">
        <v>24</v>
      </c>
    </row>
    <row r="156" spans="1:14" x14ac:dyDescent="0.3">
      <c r="A156" s="3" t="s">
        <v>604</v>
      </c>
      <c r="B156" s="3" t="s">
        <v>87</v>
      </c>
      <c r="C156" s="3" t="s">
        <v>35</v>
      </c>
      <c r="D156" t="s">
        <v>114</v>
      </c>
      <c r="E156" t="s">
        <v>279</v>
      </c>
      <c r="F156" t="s">
        <v>306</v>
      </c>
      <c r="G156" t="s">
        <v>605</v>
      </c>
      <c r="H156" t="s">
        <v>606</v>
      </c>
      <c r="I156" s="4">
        <v>4.2300000000000004</v>
      </c>
      <c r="J156" t="s">
        <v>73</v>
      </c>
      <c r="K156" t="s">
        <v>57</v>
      </c>
      <c r="L156" t="s">
        <v>23</v>
      </c>
      <c r="M156" t="s">
        <v>43</v>
      </c>
    </row>
    <row r="157" spans="1:14" x14ac:dyDescent="0.3">
      <c r="A157" s="3" t="s">
        <v>607</v>
      </c>
      <c r="B157" s="3" t="s">
        <v>158</v>
      </c>
      <c r="C157" s="3" t="s">
        <v>16</v>
      </c>
      <c r="D157" t="s">
        <v>188</v>
      </c>
      <c r="E157" t="s">
        <v>189</v>
      </c>
      <c r="F157" t="s">
        <v>190</v>
      </c>
      <c r="G157" t="s">
        <v>608</v>
      </c>
      <c r="H157" t="s">
        <v>609</v>
      </c>
      <c r="I157" s="4">
        <v>2.41</v>
      </c>
      <c r="J157" t="s">
        <v>41</v>
      </c>
      <c r="K157" t="s">
        <v>57</v>
      </c>
      <c r="L157" t="s">
        <v>119</v>
      </c>
      <c r="M157" t="s">
        <v>43</v>
      </c>
    </row>
    <row r="158" spans="1:14" x14ac:dyDescent="0.3">
      <c r="A158" s="3" t="s">
        <v>610</v>
      </c>
      <c r="B158" s="3" t="s">
        <v>287</v>
      </c>
      <c r="C158" s="3" t="s">
        <v>35</v>
      </c>
      <c r="D158" t="s">
        <v>36</v>
      </c>
      <c r="E158" t="s">
        <v>37</v>
      </c>
      <c r="F158" t="s">
        <v>611</v>
      </c>
      <c r="G158" t="s">
        <v>612</v>
      </c>
      <c r="H158" t="s">
        <v>595</v>
      </c>
      <c r="I158" s="4">
        <v>3.92</v>
      </c>
      <c r="J158" t="s">
        <v>50</v>
      </c>
      <c r="K158" t="s">
        <v>22</v>
      </c>
      <c r="L158" t="s">
        <v>23</v>
      </c>
      <c r="M158" t="s">
        <v>24</v>
      </c>
    </row>
    <row r="159" spans="1:14" x14ac:dyDescent="0.3">
      <c r="A159" s="3" t="s">
        <v>613</v>
      </c>
      <c r="B159" s="3" t="s">
        <v>80</v>
      </c>
      <c r="C159" s="3" t="s">
        <v>16</v>
      </c>
      <c r="D159" t="s">
        <v>68</v>
      </c>
      <c r="E159" t="s">
        <v>69</v>
      </c>
      <c r="F159" t="s">
        <v>70</v>
      </c>
      <c r="G159" t="s">
        <v>614</v>
      </c>
      <c r="H159" t="s">
        <v>615</v>
      </c>
      <c r="I159" s="4">
        <v>2.27</v>
      </c>
      <c r="J159" t="s">
        <v>50</v>
      </c>
      <c r="K159" t="s">
        <v>22</v>
      </c>
      <c r="L159" t="s">
        <v>23</v>
      </c>
      <c r="M159" t="s">
        <v>24</v>
      </c>
    </row>
    <row r="160" spans="1:14" x14ac:dyDescent="0.3">
      <c r="A160" s="3" t="s">
        <v>616</v>
      </c>
      <c r="B160" s="3" t="s">
        <v>287</v>
      </c>
      <c r="C160" s="3" t="s">
        <v>35</v>
      </c>
      <c r="D160" t="s">
        <v>114</v>
      </c>
      <c r="E160" t="s">
        <v>115</v>
      </c>
      <c r="F160" t="s">
        <v>617</v>
      </c>
      <c r="G160" t="s">
        <v>618</v>
      </c>
      <c r="H160" t="s">
        <v>619</v>
      </c>
      <c r="I160" s="4">
        <v>1.62</v>
      </c>
      <c r="J160" t="s">
        <v>50</v>
      </c>
      <c r="K160" t="s">
        <v>22</v>
      </c>
      <c r="L160" t="s">
        <v>23</v>
      </c>
      <c r="M160" t="s">
        <v>24</v>
      </c>
    </row>
    <row r="161" spans="1:13" x14ac:dyDescent="0.3">
      <c r="A161" s="3" t="s">
        <v>620</v>
      </c>
      <c r="B161" s="3" t="s">
        <v>59</v>
      </c>
      <c r="C161" s="3" t="s">
        <v>16</v>
      </c>
      <c r="D161" t="s">
        <v>188</v>
      </c>
      <c r="E161" t="s">
        <v>263</v>
      </c>
      <c r="F161" t="s">
        <v>380</v>
      </c>
      <c r="G161" t="s">
        <v>621</v>
      </c>
      <c r="H161" t="s">
        <v>622</v>
      </c>
      <c r="I161" s="4">
        <v>4.18</v>
      </c>
      <c r="J161" t="s">
        <v>50</v>
      </c>
      <c r="K161" t="s">
        <v>22</v>
      </c>
      <c r="L161" t="s">
        <v>23</v>
      </c>
      <c r="M161" t="s">
        <v>24</v>
      </c>
    </row>
    <row r="162" spans="1:13" x14ac:dyDescent="0.3">
      <c r="A162" s="3" t="s">
        <v>623</v>
      </c>
      <c r="B162" s="3" t="s">
        <v>124</v>
      </c>
      <c r="C162" s="3" t="s">
        <v>16</v>
      </c>
      <c r="D162" t="s">
        <v>188</v>
      </c>
      <c r="E162" t="s">
        <v>189</v>
      </c>
      <c r="F162" t="s">
        <v>190</v>
      </c>
      <c r="G162" t="s">
        <v>624</v>
      </c>
      <c r="H162" t="s">
        <v>625</v>
      </c>
      <c r="I162" s="4">
        <v>3.02</v>
      </c>
      <c r="J162" t="s">
        <v>50</v>
      </c>
      <c r="K162" t="s">
        <v>22</v>
      </c>
      <c r="L162" t="s">
        <v>23</v>
      </c>
      <c r="M162" t="s">
        <v>24</v>
      </c>
    </row>
    <row r="163" spans="1:13" x14ac:dyDescent="0.3">
      <c r="A163" s="3" t="s">
        <v>626</v>
      </c>
      <c r="B163" s="3" t="s">
        <v>103</v>
      </c>
      <c r="C163" s="3" t="s">
        <v>16</v>
      </c>
      <c r="D163" t="s">
        <v>188</v>
      </c>
      <c r="E163" t="s">
        <v>189</v>
      </c>
      <c r="F163" t="s">
        <v>189</v>
      </c>
      <c r="G163" t="s">
        <v>627</v>
      </c>
      <c r="H163" t="s">
        <v>628</v>
      </c>
      <c r="I163" s="4">
        <v>4.1100000000000003</v>
      </c>
      <c r="J163" t="s">
        <v>73</v>
      </c>
      <c r="K163" t="s">
        <v>57</v>
      </c>
      <c r="L163" t="s">
        <v>23</v>
      </c>
      <c r="M163" t="s">
        <v>43</v>
      </c>
    </row>
    <row r="164" spans="1:13" x14ac:dyDescent="0.3">
      <c r="A164" s="3" t="s">
        <v>629</v>
      </c>
      <c r="B164" s="3" t="s">
        <v>113</v>
      </c>
      <c r="C164" s="3" t="s">
        <v>35</v>
      </c>
      <c r="D164" t="s">
        <v>45</v>
      </c>
      <c r="E164" t="s">
        <v>46</v>
      </c>
      <c r="F164" t="s">
        <v>589</v>
      </c>
      <c r="G164" t="s">
        <v>630</v>
      </c>
      <c r="H164" t="s">
        <v>631</v>
      </c>
      <c r="I164" s="4">
        <v>1.1100000000000001</v>
      </c>
      <c r="J164" t="s">
        <v>41</v>
      </c>
      <c r="K164" t="s">
        <v>42</v>
      </c>
      <c r="L164" t="s">
        <v>119</v>
      </c>
      <c r="M164" t="s">
        <v>43</v>
      </c>
    </row>
    <row r="165" spans="1:13" x14ac:dyDescent="0.3">
      <c r="A165" s="3" t="s">
        <v>632</v>
      </c>
      <c r="B165" s="3" t="s">
        <v>26</v>
      </c>
      <c r="C165" s="3" t="s">
        <v>16</v>
      </c>
      <c r="D165" t="s">
        <v>188</v>
      </c>
      <c r="E165" t="s">
        <v>189</v>
      </c>
      <c r="F165" t="s">
        <v>259</v>
      </c>
      <c r="G165" t="s">
        <v>633</v>
      </c>
      <c r="H165" t="s">
        <v>634</v>
      </c>
      <c r="I165" s="4">
        <v>3.57</v>
      </c>
      <c r="J165" t="s">
        <v>50</v>
      </c>
      <c r="K165" t="s">
        <v>22</v>
      </c>
      <c r="L165" t="s">
        <v>23</v>
      </c>
      <c r="M165" t="s">
        <v>24</v>
      </c>
    </row>
    <row r="166" spans="1:13" x14ac:dyDescent="0.3">
      <c r="A166" s="3" t="s">
        <v>635</v>
      </c>
      <c r="B166" s="3" t="s">
        <v>158</v>
      </c>
      <c r="C166" s="3" t="s">
        <v>16</v>
      </c>
      <c r="D166" t="s">
        <v>104</v>
      </c>
      <c r="E166" t="s">
        <v>274</v>
      </c>
      <c r="F166" t="s">
        <v>275</v>
      </c>
      <c r="G166" t="s">
        <v>636</v>
      </c>
      <c r="H166" t="s">
        <v>637</v>
      </c>
      <c r="I166" s="4">
        <v>1.62</v>
      </c>
      <c r="J166" t="s">
        <v>41</v>
      </c>
      <c r="K166" t="s">
        <v>42</v>
      </c>
      <c r="L166" t="s">
        <v>119</v>
      </c>
      <c r="M166" t="s">
        <v>43</v>
      </c>
    </row>
    <row r="167" spans="1:13" x14ac:dyDescent="0.3">
      <c r="A167" s="3" t="s">
        <v>638</v>
      </c>
      <c r="B167" s="3" t="s">
        <v>52</v>
      </c>
      <c r="C167" s="3" t="s">
        <v>35</v>
      </c>
      <c r="D167" t="s">
        <v>114</v>
      </c>
      <c r="E167" t="s">
        <v>150</v>
      </c>
      <c r="F167" t="s">
        <v>404</v>
      </c>
      <c r="G167" t="s">
        <v>639</v>
      </c>
      <c r="H167" t="s">
        <v>640</v>
      </c>
      <c r="I167" s="4">
        <v>2.37</v>
      </c>
      <c r="J167" t="s">
        <v>50</v>
      </c>
      <c r="K167" t="s">
        <v>22</v>
      </c>
      <c r="L167" t="s">
        <v>23</v>
      </c>
      <c r="M167" t="s">
        <v>24</v>
      </c>
    </row>
    <row r="168" spans="1:13" x14ac:dyDescent="0.3">
      <c r="A168" s="3" t="s">
        <v>641</v>
      </c>
      <c r="B168" s="3" t="s">
        <v>26</v>
      </c>
      <c r="C168" s="3" t="s">
        <v>16</v>
      </c>
      <c r="D168" t="s">
        <v>68</v>
      </c>
      <c r="E168" t="s">
        <v>68</v>
      </c>
      <c r="F168" t="s">
        <v>642</v>
      </c>
      <c r="G168" t="s">
        <v>643</v>
      </c>
      <c r="H168" t="s">
        <v>644</v>
      </c>
      <c r="I168" s="4">
        <v>4.09</v>
      </c>
      <c r="J168" t="s">
        <v>21</v>
      </c>
      <c r="K168" t="s">
        <v>22</v>
      </c>
      <c r="L168" t="s">
        <v>23</v>
      </c>
      <c r="M168" t="s">
        <v>32</v>
      </c>
    </row>
    <row r="169" spans="1:13" x14ac:dyDescent="0.3">
      <c r="A169" s="3" t="s">
        <v>645</v>
      </c>
      <c r="B169" s="3" t="s">
        <v>15</v>
      </c>
      <c r="C169" s="3" t="s">
        <v>16</v>
      </c>
      <c r="D169" t="s">
        <v>188</v>
      </c>
      <c r="E169" t="s">
        <v>188</v>
      </c>
      <c r="F169" t="s">
        <v>188</v>
      </c>
      <c r="G169" t="s">
        <v>646</v>
      </c>
      <c r="H169" t="s">
        <v>647</v>
      </c>
      <c r="I169" s="4">
        <v>1.44</v>
      </c>
      <c r="J169" t="s">
        <v>21</v>
      </c>
      <c r="K169" t="s">
        <v>22</v>
      </c>
      <c r="L169" t="s">
        <v>23</v>
      </c>
      <c r="M169" t="s">
        <v>24</v>
      </c>
    </row>
    <row r="170" spans="1:13" x14ac:dyDescent="0.3">
      <c r="A170" s="3" t="s">
        <v>648</v>
      </c>
      <c r="B170" s="3" t="s">
        <v>26</v>
      </c>
      <c r="C170" s="3" t="s">
        <v>16</v>
      </c>
      <c r="D170" t="s">
        <v>75</v>
      </c>
      <c r="E170" t="s">
        <v>75</v>
      </c>
      <c r="F170" t="s">
        <v>649</v>
      </c>
      <c r="G170" t="s">
        <v>650</v>
      </c>
      <c r="H170" t="s">
        <v>442</v>
      </c>
      <c r="I170" s="4">
        <v>4.1500000000000004</v>
      </c>
      <c r="J170" t="s">
        <v>50</v>
      </c>
      <c r="K170" t="s">
        <v>22</v>
      </c>
      <c r="L170" t="s">
        <v>23</v>
      </c>
      <c r="M170" t="s">
        <v>24</v>
      </c>
    </row>
    <row r="171" spans="1:13" x14ac:dyDescent="0.3">
      <c r="A171" s="3" t="s">
        <v>651</v>
      </c>
      <c r="B171" s="3" t="s">
        <v>26</v>
      </c>
      <c r="C171" s="3" t="s">
        <v>16</v>
      </c>
      <c r="D171" t="s">
        <v>68</v>
      </c>
      <c r="E171" t="s">
        <v>68</v>
      </c>
      <c r="F171" t="s">
        <v>68</v>
      </c>
      <c r="G171" t="s">
        <v>652</v>
      </c>
      <c r="H171" t="s">
        <v>653</v>
      </c>
      <c r="I171" s="4">
        <v>3.7</v>
      </c>
      <c r="J171" t="s">
        <v>41</v>
      </c>
      <c r="K171" t="s">
        <v>57</v>
      </c>
      <c r="L171" t="s">
        <v>23</v>
      </c>
      <c r="M171" t="s">
        <v>43</v>
      </c>
    </row>
    <row r="172" spans="1:13" x14ac:dyDescent="0.3">
      <c r="A172" s="3" t="s">
        <v>654</v>
      </c>
      <c r="B172" s="3" t="s">
        <v>63</v>
      </c>
      <c r="C172" s="3" t="s">
        <v>35</v>
      </c>
      <c r="D172" t="s">
        <v>45</v>
      </c>
      <c r="E172" t="s">
        <v>45</v>
      </c>
      <c r="F172" t="s">
        <v>655</v>
      </c>
      <c r="G172" t="s">
        <v>656</v>
      </c>
      <c r="H172" t="s">
        <v>657</v>
      </c>
      <c r="I172" s="4">
        <v>2.0499999999999998</v>
      </c>
      <c r="J172" t="s">
        <v>50</v>
      </c>
      <c r="K172" t="s">
        <v>22</v>
      </c>
      <c r="L172" t="s">
        <v>23</v>
      </c>
      <c r="M172" t="s">
        <v>24</v>
      </c>
    </row>
    <row r="173" spans="1:13" x14ac:dyDescent="0.3">
      <c r="A173" s="3" t="s">
        <v>658</v>
      </c>
      <c r="B173" s="3" t="s">
        <v>124</v>
      </c>
      <c r="C173" s="3" t="s">
        <v>16</v>
      </c>
      <c r="D173" t="s">
        <v>75</v>
      </c>
      <c r="E173" t="s">
        <v>251</v>
      </c>
      <c r="F173" t="s">
        <v>597</v>
      </c>
      <c r="G173" t="s">
        <v>659</v>
      </c>
      <c r="H173" t="s">
        <v>660</v>
      </c>
      <c r="I173" s="4">
        <v>4.4000000000000004</v>
      </c>
      <c r="J173" t="s">
        <v>50</v>
      </c>
      <c r="K173" t="s">
        <v>22</v>
      </c>
      <c r="L173" t="s">
        <v>23</v>
      </c>
      <c r="M173" t="s">
        <v>24</v>
      </c>
    </row>
    <row r="174" spans="1:13" x14ac:dyDescent="0.3">
      <c r="A174" s="3" t="s">
        <v>661</v>
      </c>
      <c r="B174" s="3" t="s">
        <v>87</v>
      </c>
      <c r="C174" s="3" t="s">
        <v>35</v>
      </c>
      <c r="D174" t="s">
        <v>45</v>
      </c>
      <c r="E174" t="s">
        <v>138</v>
      </c>
      <c r="F174" t="s">
        <v>355</v>
      </c>
      <c r="G174" t="s">
        <v>662</v>
      </c>
      <c r="H174" t="s">
        <v>663</v>
      </c>
      <c r="I174" s="4">
        <v>1.22</v>
      </c>
      <c r="J174" t="s">
        <v>73</v>
      </c>
      <c r="K174" t="s">
        <v>57</v>
      </c>
      <c r="L174" t="s">
        <v>23</v>
      </c>
      <c r="M174" t="s">
        <v>32</v>
      </c>
    </row>
    <row r="175" spans="1:13" x14ac:dyDescent="0.3">
      <c r="A175" s="3" t="s">
        <v>664</v>
      </c>
      <c r="B175" s="3" t="s">
        <v>15</v>
      </c>
      <c r="C175" s="3" t="s">
        <v>16</v>
      </c>
      <c r="D175" t="s">
        <v>17</v>
      </c>
      <c r="E175" t="s">
        <v>17</v>
      </c>
      <c r="F175" t="s">
        <v>81</v>
      </c>
      <c r="G175" t="s">
        <v>665</v>
      </c>
      <c r="H175" t="s">
        <v>495</v>
      </c>
      <c r="I175" s="4">
        <v>0.56000000000000005</v>
      </c>
      <c r="J175" t="s">
        <v>73</v>
      </c>
      <c r="K175" t="s">
        <v>101</v>
      </c>
      <c r="L175" t="s">
        <v>23</v>
      </c>
      <c r="M175" t="s">
        <v>43</v>
      </c>
    </row>
    <row r="176" spans="1:13" x14ac:dyDescent="0.3">
      <c r="A176" s="3" t="s">
        <v>666</v>
      </c>
      <c r="B176" s="3" t="s">
        <v>52</v>
      </c>
      <c r="C176" s="3" t="s">
        <v>35</v>
      </c>
      <c r="D176" t="s">
        <v>45</v>
      </c>
      <c r="E176" t="s">
        <v>138</v>
      </c>
      <c r="F176" t="s">
        <v>355</v>
      </c>
      <c r="G176" t="s">
        <v>667</v>
      </c>
      <c r="H176" t="s">
        <v>668</v>
      </c>
      <c r="I176" s="4">
        <v>3.97</v>
      </c>
      <c r="J176" t="s">
        <v>21</v>
      </c>
      <c r="K176" t="s">
        <v>101</v>
      </c>
      <c r="L176" t="s">
        <v>23</v>
      </c>
      <c r="M176" t="s">
        <v>24</v>
      </c>
    </row>
    <row r="177" spans="1:14" x14ac:dyDescent="0.3">
      <c r="A177" s="3" t="s">
        <v>669</v>
      </c>
      <c r="B177" s="3" t="s">
        <v>103</v>
      </c>
      <c r="C177" s="3" t="s">
        <v>16</v>
      </c>
      <c r="D177" t="s">
        <v>17</v>
      </c>
      <c r="E177" t="s">
        <v>17</v>
      </c>
      <c r="F177" t="s">
        <v>601</v>
      </c>
      <c r="G177" t="s">
        <v>670</v>
      </c>
      <c r="H177" t="s">
        <v>671</v>
      </c>
      <c r="I177" s="4">
        <v>3.8</v>
      </c>
      <c r="J177" t="s">
        <v>50</v>
      </c>
      <c r="K177" t="s">
        <v>22</v>
      </c>
      <c r="L177" t="s">
        <v>23</v>
      </c>
      <c r="M177" t="s">
        <v>24</v>
      </c>
    </row>
    <row r="178" spans="1:14" x14ac:dyDescent="0.3">
      <c r="A178" s="3" t="s">
        <v>672</v>
      </c>
      <c r="B178" s="3" t="s">
        <v>67</v>
      </c>
      <c r="C178" s="3" t="s">
        <v>16</v>
      </c>
      <c r="D178" t="s">
        <v>188</v>
      </c>
      <c r="E178" t="s">
        <v>189</v>
      </c>
      <c r="F178" t="s">
        <v>190</v>
      </c>
      <c r="G178" t="s">
        <v>673</v>
      </c>
      <c r="H178" t="s">
        <v>674</v>
      </c>
      <c r="I178" s="4">
        <v>2.68</v>
      </c>
      <c r="J178" t="s">
        <v>73</v>
      </c>
      <c r="K178" t="s">
        <v>57</v>
      </c>
      <c r="L178" t="s">
        <v>23</v>
      </c>
      <c r="M178" t="s">
        <v>43</v>
      </c>
    </row>
    <row r="179" spans="1:14" x14ac:dyDescent="0.3">
      <c r="A179" s="3" t="s">
        <v>675</v>
      </c>
      <c r="B179" s="3" t="s">
        <v>52</v>
      </c>
      <c r="C179" s="3" t="s">
        <v>35</v>
      </c>
      <c r="D179" t="s">
        <v>88</v>
      </c>
      <c r="E179" t="s">
        <v>180</v>
      </c>
      <c r="F179" t="s">
        <v>676</v>
      </c>
      <c r="G179" t="s">
        <v>677</v>
      </c>
      <c r="H179" t="s">
        <v>678</v>
      </c>
      <c r="I179" s="4">
        <v>2.91</v>
      </c>
      <c r="J179" t="s">
        <v>21</v>
      </c>
      <c r="K179" t="s">
        <v>101</v>
      </c>
      <c r="L179" t="s">
        <v>23</v>
      </c>
      <c r="M179" t="s">
        <v>24</v>
      </c>
    </row>
    <row r="180" spans="1:14" x14ac:dyDescent="0.3">
      <c r="A180" s="3" t="s">
        <v>679</v>
      </c>
      <c r="B180" s="3" t="s">
        <v>103</v>
      </c>
      <c r="C180" s="3" t="s">
        <v>16</v>
      </c>
      <c r="D180" t="s">
        <v>188</v>
      </c>
      <c r="E180" t="s">
        <v>188</v>
      </c>
      <c r="F180" t="s">
        <v>189</v>
      </c>
      <c r="G180" t="s">
        <v>680</v>
      </c>
      <c r="H180" t="s">
        <v>445</v>
      </c>
      <c r="I180" s="4">
        <v>1.34</v>
      </c>
      <c r="J180" t="s">
        <v>73</v>
      </c>
      <c r="K180" t="s">
        <v>57</v>
      </c>
      <c r="L180" t="s">
        <v>23</v>
      </c>
      <c r="M180" t="s">
        <v>32</v>
      </c>
    </row>
    <row r="181" spans="1:14" x14ac:dyDescent="0.3">
      <c r="A181" s="3" t="s">
        <v>681</v>
      </c>
      <c r="B181" s="3" t="s">
        <v>59</v>
      </c>
      <c r="C181" s="3" t="s">
        <v>16</v>
      </c>
      <c r="D181" t="s">
        <v>27</v>
      </c>
      <c r="E181" t="s">
        <v>93</v>
      </c>
      <c r="F181" t="s">
        <v>93</v>
      </c>
      <c r="G181" t="s">
        <v>682</v>
      </c>
      <c r="H181" t="s">
        <v>683</v>
      </c>
      <c r="I181" s="4">
        <v>1.67</v>
      </c>
      <c r="J181" t="s">
        <v>41</v>
      </c>
      <c r="K181" t="s">
        <v>42</v>
      </c>
      <c r="L181" t="s">
        <v>119</v>
      </c>
      <c r="M181" t="s">
        <v>85</v>
      </c>
      <c r="N181" s="1">
        <v>45019</v>
      </c>
    </row>
    <row r="182" spans="1:14" x14ac:dyDescent="0.3">
      <c r="A182" s="3" t="s">
        <v>684</v>
      </c>
      <c r="B182" s="3" t="s">
        <v>87</v>
      </c>
      <c r="C182" s="3" t="s">
        <v>35</v>
      </c>
      <c r="D182" t="s">
        <v>45</v>
      </c>
      <c r="E182" t="s">
        <v>138</v>
      </c>
      <c r="F182" t="s">
        <v>355</v>
      </c>
      <c r="G182" t="s">
        <v>685</v>
      </c>
      <c r="H182" t="s">
        <v>686</v>
      </c>
      <c r="I182" s="4">
        <v>2.5499999999999998</v>
      </c>
      <c r="J182" t="s">
        <v>73</v>
      </c>
      <c r="K182" t="s">
        <v>42</v>
      </c>
      <c r="L182" t="s">
        <v>23</v>
      </c>
      <c r="M182" t="s">
        <v>43</v>
      </c>
    </row>
    <row r="183" spans="1:14" x14ac:dyDescent="0.3">
      <c r="A183" s="3" t="s">
        <v>687</v>
      </c>
      <c r="B183" s="3" t="s">
        <v>63</v>
      </c>
      <c r="C183" s="3" t="s">
        <v>35</v>
      </c>
      <c r="D183" t="s">
        <v>45</v>
      </c>
      <c r="E183" t="s">
        <v>138</v>
      </c>
      <c r="F183" t="s">
        <v>553</v>
      </c>
      <c r="G183" t="s">
        <v>688</v>
      </c>
      <c r="H183" t="s">
        <v>689</v>
      </c>
      <c r="I183" s="4">
        <v>3.11</v>
      </c>
      <c r="J183" t="s">
        <v>41</v>
      </c>
      <c r="K183" t="s">
        <v>42</v>
      </c>
      <c r="L183" t="s">
        <v>119</v>
      </c>
      <c r="M183" t="s">
        <v>85</v>
      </c>
      <c r="N183" s="1">
        <v>45268</v>
      </c>
    </row>
    <row r="184" spans="1:14" x14ac:dyDescent="0.3">
      <c r="A184" s="3" t="s">
        <v>690</v>
      </c>
      <c r="B184" s="3" t="s">
        <v>113</v>
      </c>
      <c r="C184" s="3" t="s">
        <v>35</v>
      </c>
      <c r="D184" t="s">
        <v>45</v>
      </c>
      <c r="E184" t="s">
        <v>46</v>
      </c>
      <c r="F184" t="s">
        <v>109</v>
      </c>
      <c r="G184" t="s">
        <v>691</v>
      </c>
      <c r="H184" t="s">
        <v>692</v>
      </c>
      <c r="I184" s="4">
        <v>3.87</v>
      </c>
      <c r="J184" t="s">
        <v>50</v>
      </c>
      <c r="K184" t="s">
        <v>22</v>
      </c>
      <c r="L184" t="s">
        <v>23</v>
      </c>
      <c r="M184" t="s">
        <v>24</v>
      </c>
    </row>
    <row r="185" spans="1:14" x14ac:dyDescent="0.3">
      <c r="A185" s="3" t="s">
        <v>693</v>
      </c>
      <c r="B185" s="3" t="s">
        <v>80</v>
      </c>
      <c r="C185" s="3" t="s">
        <v>16</v>
      </c>
      <c r="D185" t="s">
        <v>104</v>
      </c>
      <c r="E185" t="s">
        <v>274</v>
      </c>
      <c r="F185" t="s">
        <v>440</v>
      </c>
      <c r="G185" t="s">
        <v>694</v>
      </c>
      <c r="H185" t="s">
        <v>695</v>
      </c>
      <c r="I185" s="4">
        <v>0.57999999999999996</v>
      </c>
      <c r="J185" t="s">
        <v>73</v>
      </c>
      <c r="K185" t="s">
        <v>42</v>
      </c>
      <c r="L185" t="s">
        <v>23</v>
      </c>
      <c r="M185" t="s">
        <v>43</v>
      </c>
    </row>
    <row r="186" spans="1:14" x14ac:dyDescent="0.3">
      <c r="A186" s="3" t="s">
        <v>696</v>
      </c>
      <c r="B186" s="3" t="s">
        <v>113</v>
      </c>
      <c r="C186" s="3" t="s">
        <v>35</v>
      </c>
      <c r="D186" t="s">
        <v>45</v>
      </c>
      <c r="E186" t="s">
        <v>45</v>
      </c>
      <c r="F186" t="s">
        <v>655</v>
      </c>
      <c r="G186" t="s">
        <v>697</v>
      </c>
      <c r="H186" t="s">
        <v>698</v>
      </c>
      <c r="I186" s="4">
        <v>1.1100000000000001</v>
      </c>
      <c r="J186" t="s">
        <v>50</v>
      </c>
      <c r="K186" t="s">
        <v>22</v>
      </c>
      <c r="L186" t="s">
        <v>23</v>
      </c>
      <c r="M186" t="s">
        <v>24</v>
      </c>
    </row>
    <row r="187" spans="1:14" x14ac:dyDescent="0.3">
      <c r="A187" s="3" t="s">
        <v>699</v>
      </c>
      <c r="B187" s="3" t="s">
        <v>63</v>
      </c>
      <c r="C187" s="3" t="s">
        <v>35</v>
      </c>
      <c r="D187" t="s">
        <v>36</v>
      </c>
      <c r="E187" t="s">
        <v>53</v>
      </c>
      <c r="F187" t="s">
        <v>53</v>
      </c>
      <c r="G187" t="s">
        <v>700</v>
      </c>
      <c r="H187" t="s">
        <v>701</v>
      </c>
      <c r="I187" s="4">
        <v>2.78</v>
      </c>
      <c r="J187" t="s">
        <v>50</v>
      </c>
      <c r="K187" t="s">
        <v>22</v>
      </c>
      <c r="L187" t="s">
        <v>23</v>
      </c>
      <c r="M187" t="s">
        <v>24</v>
      </c>
    </row>
    <row r="188" spans="1:14" x14ac:dyDescent="0.3">
      <c r="A188" s="3" t="s">
        <v>702</v>
      </c>
      <c r="B188" s="3" t="s">
        <v>67</v>
      </c>
      <c r="C188" s="3" t="s">
        <v>16</v>
      </c>
      <c r="D188" t="s">
        <v>17</v>
      </c>
      <c r="E188" t="s">
        <v>17</v>
      </c>
      <c r="F188" t="s">
        <v>81</v>
      </c>
      <c r="G188" t="s">
        <v>703</v>
      </c>
      <c r="H188" t="s">
        <v>704</v>
      </c>
      <c r="I188" s="4">
        <v>3.78</v>
      </c>
      <c r="J188" t="s">
        <v>41</v>
      </c>
      <c r="K188" t="s">
        <v>42</v>
      </c>
      <c r="L188" t="s">
        <v>23</v>
      </c>
      <c r="M188" t="s">
        <v>85</v>
      </c>
    </row>
    <row r="189" spans="1:14" x14ac:dyDescent="0.3">
      <c r="A189" s="3" t="s">
        <v>705</v>
      </c>
      <c r="B189" s="3" t="s">
        <v>26</v>
      </c>
      <c r="C189" s="3" t="s">
        <v>16</v>
      </c>
      <c r="D189" t="s">
        <v>188</v>
      </c>
      <c r="E189" t="s">
        <v>189</v>
      </c>
      <c r="F189" t="s">
        <v>189</v>
      </c>
      <c r="G189" t="s">
        <v>706</v>
      </c>
      <c r="H189" t="s">
        <v>674</v>
      </c>
      <c r="I189" s="4">
        <v>0.57999999999999996</v>
      </c>
      <c r="J189" t="s">
        <v>73</v>
      </c>
      <c r="K189" t="s">
        <v>42</v>
      </c>
      <c r="L189" t="s">
        <v>23</v>
      </c>
      <c r="M189" t="s">
        <v>32</v>
      </c>
    </row>
    <row r="190" spans="1:14" x14ac:dyDescent="0.3">
      <c r="A190" s="3" t="s">
        <v>707</v>
      </c>
      <c r="B190" s="3" t="s">
        <v>287</v>
      </c>
      <c r="C190" s="3" t="s">
        <v>35</v>
      </c>
      <c r="D190" t="s">
        <v>45</v>
      </c>
      <c r="E190" t="s">
        <v>45</v>
      </c>
      <c r="F190" t="s">
        <v>708</v>
      </c>
      <c r="G190" t="s">
        <v>709</v>
      </c>
      <c r="H190" t="s">
        <v>710</v>
      </c>
      <c r="I190" s="4">
        <v>4.59</v>
      </c>
      <c r="J190" t="s">
        <v>41</v>
      </c>
      <c r="K190" t="s">
        <v>57</v>
      </c>
      <c r="L190" t="s">
        <v>23</v>
      </c>
      <c r="M190" t="s">
        <v>43</v>
      </c>
    </row>
    <row r="191" spans="1:14" x14ac:dyDescent="0.3">
      <c r="A191" s="3" t="s">
        <v>711</v>
      </c>
      <c r="B191" s="3" t="s">
        <v>124</v>
      </c>
      <c r="C191" s="3" t="s">
        <v>16</v>
      </c>
      <c r="D191" t="s">
        <v>27</v>
      </c>
      <c r="E191" t="s">
        <v>27</v>
      </c>
      <c r="F191" t="s">
        <v>27</v>
      </c>
      <c r="G191" t="s">
        <v>712</v>
      </c>
      <c r="H191" t="s">
        <v>713</v>
      </c>
      <c r="I191" s="4">
        <v>2.62</v>
      </c>
      <c r="J191" t="s">
        <v>21</v>
      </c>
      <c r="K191" t="s">
        <v>101</v>
      </c>
      <c r="L191" t="s">
        <v>23</v>
      </c>
      <c r="M191" t="s">
        <v>32</v>
      </c>
    </row>
    <row r="192" spans="1:14" x14ac:dyDescent="0.3">
      <c r="A192" s="3" t="s">
        <v>714</v>
      </c>
      <c r="B192" s="3" t="s">
        <v>59</v>
      </c>
      <c r="C192" s="3" t="s">
        <v>16</v>
      </c>
      <c r="D192" t="s">
        <v>104</v>
      </c>
      <c r="E192" t="s">
        <v>274</v>
      </c>
      <c r="F192" t="s">
        <v>450</v>
      </c>
      <c r="G192" t="s">
        <v>715</v>
      </c>
      <c r="H192" t="s">
        <v>716</v>
      </c>
      <c r="I192" s="4">
        <v>3.73</v>
      </c>
      <c r="J192" t="s">
        <v>50</v>
      </c>
      <c r="K192" t="s">
        <v>22</v>
      </c>
      <c r="L192" t="s">
        <v>23</v>
      </c>
      <c r="M192" t="s">
        <v>24</v>
      </c>
    </row>
    <row r="193" spans="1:14" x14ac:dyDescent="0.3">
      <c r="A193" s="3" t="s">
        <v>717</v>
      </c>
      <c r="B193" s="3" t="s">
        <v>87</v>
      </c>
      <c r="C193" s="3" t="s">
        <v>35</v>
      </c>
      <c r="D193" t="s">
        <v>167</v>
      </c>
      <c r="E193" t="s">
        <v>350</v>
      </c>
      <c r="F193" t="s">
        <v>509</v>
      </c>
      <c r="G193" t="s">
        <v>718</v>
      </c>
      <c r="H193" t="s">
        <v>719</v>
      </c>
      <c r="I193" s="4">
        <v>0.76</v>
      </c>
      <c r="J193" t="s">
        <v>73</v>
      </c>
      <c r="K193" t="s">
        <v>101</v>
      </c>
      <c r="L193" t="s">
        <v>23</v>
      </c>
      <c r="M193" t="s">
        <v>32</v>
      </c>
    </row>
    <row r="194" spans="1:14" x14ac:dyDescent="0.3">
      <c r="A194" s="3" t="s">
        <v>720</v>
      </c>
      <c r="B194" s="3" t="s">
        <v>63</v>
      </c>
      <c r="C194" s="3" t="s">
        <v>35</v>
      </c>
      <c r="D194" t="s">
        <v>45</v>
      </c>
      <c r="E194" t="s">
        <v>46</v>
      </c>
      <c r="F194" t="s">
        <v>109</v>
      </c>
      <c r="G194" t="s">
        <v>721</v>
      </c>
      <c r="H194" t="s">
        <v>722</v>
      </c>
      <c r="I194" s="4">
        <v>2.69</v>
      </c>
      <c r="J194" t="s">
        <v>21</v>
      </c>
      <c r="K194" t="s">
        <v>101</v>
      </c>
      <c r="L194" t="s">
        <v>23</v>
      </c>
      <c r="M194" t="s">
        <v>24</v>
      </c>
    </row>
    <row r="195" spans="1:14" x14ac:dyDescent="0.3">
      <c r="A195" s="3" t="s">
        <v>723</v>
      </c>
      <c r="B195" s="3" t="s">
        <v>87</v>
      </c>
      <c r="C195" s="3" t="s">
        <v>35</v>
      </c>
      <c r="D195" t="s">
        <v>36</v>
      </c>
      <c r="E195" t="s">
        <v>175</v>
      </c>
      <c r="F195" t="s">
        <v>175</v>
      </c>
      <c r="G195" t="s">
        <v>724</v>
      </c>
      <c r="H195" t="s">
        <v>725</v>
      </c>
      <c r="I195" s="4">
        <v>2.14</v>
      </c>
      <c r="J195" t="s">
        <v>21</v>
      </c>
      <c r="K195" t="s">
        <v>22</v>
      </c>
      <c r="L195" t="s">
        <v>23</v>
      </c>
      <c r="M195" t="s">
        <v>32</v>
      </c>
    </row>
    <row r="196" spans="1:14" x14ac:dyDescent="0.3">
      <c r="A196" s="3" t="s">
        <v>726</v>
      </c>
      <c r="B196" s="3" t="s">
        <v>15</v>
      </c>
      <c r="C196" s="3" t="s">
        <v>16</v>
      </c>
      <c r="D196" t="s">
        <v>68</v>
      </c>
      <c r="E196" t="s">
        <v>69</v>
      </c>
      <c r="F196" t="s">
        <v>70</v>
      </c>
      <c r="G196" t="s">
        <v>727</v>
      </c>
      <c r="H196" t="s">
        <v>277</v>
      </c>
      <c r="I196" s="4">
        <v>4.17</v>
      </c>
      <c r="J196" t="s">
        <v>41</v>
      </c>
      <c r="K196" t="s">
        <v>57</v>
      </c>
      <c r="L196" t="s">
        <v>119</v>
      </c>
      <c r="M196" t="s">
        <v>85</v>
      </c>
      <c r="N196" s="1">
        <v>45488</v>
      </c>
    </row>
    <row r="197" spans="1:14" x14ac:dyDescent="0.3">
      <c r="A197" s="3" t="s">
        <v>728</v>
      </c>
      <c r="B197" s="3" t="s">
        <v>63</v>
      </c>
      <c r="C197" s="3" t="s">
        <v>35</v>
      </c>
      <c r="D197" t="s">
        <v>114</v>
      </c>
      <c r="E197" t="s">
        <v>279</v>
      </c>
      <c r="F197" t="s">
        <v>729</v>
      </c>
      <c r="G197" t="s">
        <v>730</v>
      </c>
      <c r="H197" t="s">
        <v>731</v>
      </c>
      <c r="I197" s="4">
        <v>2.17</v>
      </c>
      <c r="J197" t="s">
        <v>41</v>
      </c>
      <c r="K197" t="s">
        <v>57</v>
      </c>
      <c r="L197" t="s">
        <v>23</v>
      </c>
      <c r="M197" t="s">
        <v>85</v>
      </c>
    </row>
    <row r="198" spans="1:14" x14ac:dyDescent="0.3">
      <c r="A198" s="3" t="s">
        <v>732</v>
      </c>
      <c r="B198" s="3" t="s">
        <v>34</v>
      </c>
      <c r="C198" s="3" t="s">
        <v>35</v>
      </c>
      <c r="D198" t="s">
        <v>88</v>
      </c>
      <c r="E198" t="s">
        <v>180</v>
      </c>
      <c r="F198" t="s">
        <v>181</v>
      </c>
      <c r="G198" t="s">
        <v>733</v>
      </c>
      <c r="H198" t="s">
        <v>734</v>
      </c>
      <c r="I198" s="4">
        <v>3.72</v>
      </c>
      <c r="J198" t="s">
        <v>21</v>
      </c>
      <c r="K198" t="s">
        <v>101</v>
      </c>
      <c r="L198" t="s">
        <v>23</v>
      </c>
      <c r="M198" t="s">
        <v>32</v>
      </c>
    </row>
    <row r="199" spans="1:14" x14ac:dyDescent="0.3">
      <c r="A199" s="3" t="s">
        <v>735</v>
      </c>
      <c r="B199" s="3" t="s">
        <v>103</v>
      </c>
      <c r="C199" s="3" t="s">
        <v>16</v>
      </c>
      <c r="D199" t="s">
        <v>188</v>
      </c>
      <c r="E199" t="s">
        <v>188</v>
      </c>
      <c r="F199" t="s">
        <v>188</v>
      </c>
      <c r="G199" t="s">
        <v>736</v>
      </c>
      <c r="H199" t="s">
        <v>737</v>
      </c>
      <c r="I199" s="4">
        <v>0.83</v>
      </c>
      <c r="J199" t="s">
        <v>21</v>
      </c>
      <c r="K199" t="s">
        <v>101</v>
      </c>
      <c r="L199" t="s">
        <v>23</v>
      </c>
      <c r="M199" t="s">
        <v>24</v>
      </c>
    </row>
    <row r="200" spans="1:14" x14ac:dyDescent="0.3">
      <c r="A200" s="3" t="s">
        <v>738</v>
      </c>
      <c r="B200" s="3" t="s">
        <v>103</v>
      </c>
      <c r="C200" s="3" t="s">
        <v>16</v>
      </c>
      <c r="D200" t="s">
        <v>104</v>
      </c>
      <c r="E200" t="s">
        <v>274</v>
      </c>
      <c r="F200" t="s">
        <v>275</v>
      </c>
      <c r="G200" t="s">
        <v>739</v>
      </c>
      <c r="H200" t="s">
        <v>740</v>
      </c>
      <c r="I200" s="4">
        <v>3</v>
      </c>
      <c r="J200" t="s">
        <v>21</v>
      </c>
      <c r="K200" t="s">
        <v>22</v>
      </c>
      <c r="L200" t="s">
        <v>23</v>
      </c>
      <c r="M200" t="s">
        <v>32</v>
      </c>
    </row>
    <row r="201" spans="1:14" x14ac:dyDescent="0.3">
      <c r="A201" s="3" t="s">
        <v>741</v>
      </c>
      <c r="B201" s="3" t="s">
        <v>63</v>
      </c>
      <c r="C201" s="3" t="s">
        <v>35</v>
      </c>
      <c r="D201" t="s">
        <v>45</v>
      </c>
      <c r="E201" t="s">
        <v>46</v>
      </c>
      <c r="F201" t="s">
        <v>589</v>
      </c>
      <c r="G201" t="s">
        <v>742</v>
      </c>
      <c r="H201" t="s">
        <v>743</v>
      </c>
      <c r="I201" s="4">
        <v>2.02</v>
      </c>
      <c r="J201" t="s">
        <v>21</v>
      </c>
      <c r="K201" t="s">
        <v>22</v>
      </c>
      <c r="L201" t="s">
        <v>23</v>
      </c>
      <c r="M201" t="s">
        <v>24</v>
      </c>
    </row>
    <row r="202" spans="1:14" x14ac:dyDescent="0.3">
      <c r="A202" s="3" t="s">
        <v>744</v>
      </c>
      <c r="B202" s="3" t="s">
        <v>103</v>
      </c>
      <c r="C202" s="3" t="s">
        <v>16</v>
      </c>
      <c r="D202" t="s">
        <v>27</v>
      </c>
      <c r="E202" t="s">
        <v>28</v>
      </c>
      <c r="F202" t="s">
        <v>28</v>
      </c>
      <c r="G202" t="s">
        <v>745</v>
      </c>
      <c r="H202" t="s">
        <v>609</v>
      </c>
      <c r="I202" s="4">
        <v>0.61</v>
      </c>
      <c r="J202" t="s">
        <v>41</v>
      </c>
      <c r="K202" t="s">
        <v>42</v>
      </c>
      <c r="L202" t="s">
        <v>23</v>
      </c>
      <c r="M202" t="s">
        <v>85</v>
      </c>
    </row>
    <row r="203" spans="1:14" x14ac:dyDescent="0.3">
      <c r="A203" s="3" t="s">
        <v>746</v>
      </c>
      <c r="B203" s="3" t="s">
        <v>103</v>
      </c>
      <c r="C203" s="3" t="s">
        <v>16</v>
      </c>
      <c r="D203" t="s">
        <v>188</v>
      </c>
      <c r="E203" t="s">
        <v>263</v>
      </c>
      <c r="F203" t="s">
        <v>380</v>
      </c>
      <c r="G203" t="s">
        <v>747</v>
      </c>
      <c r="H203" t="s">
        <v>748</v>
      </c>
      <c r="I203" s="4">
        <v>3.03</v>
      </c>
      <c r="J203" t="s">
        <v>50</v>
      </c>
      <c r="K203" t="s">
        <v>22</v>
      </c>
      <c r="L203" t="s">
        <v>23</v>
      </c>
      <c r="M203" t="s">
        <v>24</v>
      </c>
    </row>
    <row r="204" spans="1:14" x14ac:dyDescent="0.3">
      <c r="A204" s="3" t="s">
        <v>749</v>
      </c>
      <c r="B204" s="3" t="s">
        <v>131</v>
      </c>
      <c r="C204" s="3" t="s">
        <v>35</v>
      </c>
      <c r="D204" t="s">
        <v>114</v>
      </c>
      <c r="E204" t="s">
        <v>279</v>
      </c>
      <c r="F204" t="s">
        <v>280</v>
      </c>
      <c r="G204" t="s">
        <v>750</v>
      </c>
      <c r="H204" t="s">
        <v>751</v>
      </c>
      <c r="I204" s="4">
        <v>0.56000000000000005</v>
      </c>
      <c r="J204" t="s">
        <v>73</v>
      </c>
      <c r="K204" t="s">
        <v>42</v>
      </c>
      <c r="L204" t="s">
        <v>23</v>
      </c>
      <c r="M204" t="s">
        <v>32</v>
      </c>
    </row>
    <row r="205" spans="1:14" x14ac:dyDescent="0.3">
      <c r="A205" s="3" t="s">
        <v>752</v>
      </c>
      <c r="B205" s="3" t="s">
        <v>15</v>
      </c>
      <c r="C205" s="3" t="s">
        <v>16</v>
      </c>
      <c r="D205" t="s">
        <v>104</v>
      </c>
      <c r="E205" t="s">
        <v>105</v>
      </c>
      <c r="F205" t="s">
        <v>753</v>
      </c>
      <c r="G205" t="s">
        <v>754</v>
      </c>
      <c r="H205" t="s">
        <v>755</v>
      </c>
      <c r="I205" s="4">
        <v>3.48</v>
      </c>
      <c r="J205" t="s">
        <v>21</v>
      </c>
      <c r="K205" t="s">
        <v>22</v>
      </c>
      <c r="L205" t="s">
        <v>23</v>
      </c>
      <c r="M205" t="s">
        <v>32</v>
      </c>
    </row>
    <row r="206" spans="1:14" x14ac:dyDescent="0.3">
      <c r="A206" s="3" t="s">
        <v>756</v>
      </c>
      <c r="B206" s="3" t="s">
        <v>287</v>
      </c>
      <c r="C206" s="3" t="s">
        <v>35</v>
      </c>
      <c r="D206" t="s">
        <v>45</v>
      </c>
      <c r="E206" t="s">
        <v>138</v>
      </c>
      <c r="F206" t="s">
        <v>240</v>
      </c>
      <c r="G206" t="s">
        <v>333</v>
      </c>
      <c r="H206" t="s">
        <v>757</v>
      </c>
      <c r="I206" s="4">
        <v>3.7</v>
      </c>
      <c r="J206" t="s">
        <v>73</v>
      </c>
      <c r="K206" t="s">
        <v>42</v>
      </c>
      <c r="L206" t="s">
        <v>23</v>
      </c>
      <c r="M206" t="s">
        <v>32</v>
      </c>
    </row>
    <row r="207" spans="1:14" x14ac:dyDescent="0.3">
      <c r="A207" s="3" t="s">
        <v>758</v>
      </c>
      <c r="B207" s="3" t="s">
        <v>87</v>
      </c>
      <c r="C207" s="3" t="s">
        <v>35</v>
      </c>
      <c r="D207" t="s">
        <v>167</v>
      </c>
      <c r="E207" t="s">
        <v>168</v>
      </c>
      <c r="F207" t="s">
        <v>319</v>
      </c>
      <c r="G207" t="s">
        <v>759</v>
      </c>
      <c r="H207" t="s">
        <v>760</v>
      </c>
      <c r="I207" s="4">
        <v>1.36</v>
      </c>
      <c r="J207" t="s">
        <v>73</v>
      </c>
      <c r="K207" t="s">
        <v>101</v>
      </c>
      <c r="L207" t="s">
        <v>23</v>
      </c>
      <c r="M207" t="s">
        <v>43</v>
      </c>
    </row>
    <row r="208" spans="1:14" x14ac:dyDescent="0.3">
      <c r="A208" s="3" t="s">
        <v>761</v>
      </c>
      <c r="B208" s="3" t="s">
        <v>26</v>
      </c>
      <c r="C208" s="3" t="s">
        <v>16</v>
      </c>
      <c r="D208" t="s">
        <v>104</v>
      </c>
      <c r="E208" t="s">
        <v>274</v>
      </c>
      <c r="F208" t="s">
        <v>440</v>
      </c>
      <c r="G208" t="s">
        <v>762</v>
      </c>
      <c r="H208" t="s">
        <v>763</v>
      </c>
      <c r="I208" s="4">
        <v>1.5</v>
      </c>
      <c r="J208" t="s">
        <v>21</v>
      </c>
      <c r="K208" t="s">
        <v>101</v>
      </c>
      <c r="L208" t="s">
        <v>23</v>
      </c>
      <c r="M208" t="s">
        <v>32</v>
      </c>
    </row>
    <row r="209" spans="1:14" x14ac:dyDescent="0.3">
      <c r="A209" s="3" t="s">
        <v>764</v>
      </c>
      <c r="B209" s="3" t="s">
        <v>158</v>
      </c>
      <c r="C209" s="3" t="s">
        <v>16</v>
      </c>
      <c r="D209" t="s">
        <v>68</v>
      </c>
      <c r="E209" t="s">
        <v>68</v>
      </c>
      <c r="F209" t="s">
        <v>69</v>
      </c>
      <c r="G209" t="s">
        <v>765</v>
      </c>
      <c r="H209" t="s">
        <v>766</v>
      </c>
      <c r="I209" s="4">
        <v>4.0599999999999996</v>
      </c>
      <c r="J209" t="s">
        <v>41</v>
      </c>
      <c r="K209" t="s">
        <v>57</v>
      </c>
      <c r="L209" t="s">
        <v>23</v>
      </c>
      <c r="M209" t="s">
        <v>85</v>
      </c>
    </row>
    <row r="210" spans="1:14" x14ac:dyDescent="0.3">
      <c r="A210" s="3" t="s">
        <v>767</v>
      </c>
      <c r="B210" s="3" t="s">
        <v>124</v>
      </c>
      <c r="C210" s="3" t="s">
        <v>16</v>
      </c>
      <c r="D210" t="s">
        <v>68</v>
      </c>
      <c r="E210" t="s">
        <v>436</v>
      </c>
      <c r="F210" t="s">
        <v>768</v>
      </c>
      <c r="G210" t="s">
        <v>769</v>
      </c>
      <c r="H210" t="s">
        <v>770</v>
      </c>
      <c r="I210" s="4">
        <v>4.1399999999999997</v>
      </c>
      <c r="J210" t="s">
        <v>50</v>
      </c>
      <c r="K210" t="s">
        <v>22</v>
      </c>
      <c r="L210" t="s">
        <v>23</v>
      </c>
      <c r="M210" t="s">
        <v>24</v>
      </c>
    </row>
    <row r="211" spans="1:14" x14ac:dyDescent="0.3">
      <c r="A211" s="3" t="s">
        <v>771</v>
      </c>
      <c r="B211" s="3" t="s">
        <v>52</v>
      </c>
      <c r="C211" s="3" t="s">
        <v>35</v>
      </c>
      <c r="D211" t="s">
        <v>114</v>
      </c>
      <c r="E211" t="s">
        <v>279</v>
      </c>
      <c r="F211" t="s">
        <v>280</v>
      </c>
      <c r="G211" t="s">
        <v>772</v>
      </c>
      <c r="H211" t="s">
        <v>773</v>
      </c>
      <c r="I211" s="4">
        <v>3.98</v>
      </c>
      <c r="J211" t="s">
        <v>21</v>
      </c>
      <c r="K211" t="s">
        <v>101</v>
      </c>
      <c r="L211" t="s">
        <v>23</v>
      </c>
      <c r="M211" t="s">
        <v>24</v>
      </c>
    </row>
    <row r="212" spans="1:14" x14ac:dyDescent="0.3">
      <c r="A212" s="3" t="s">
        <v>774</v>
      </c>
      <c r="B212" s="3" t="s">
        <v>287</v>
      </c>
      <c r="C212" s="3" t="s">
        <v>35</v>
      </c>
      <c r="D212" t="s">
        <v>88</v>
      </c>
      <c r="E212" t="s">
        <v>89</v>
      </c>
      <c r="F212" t="s">
        <v>180</v>
      </c>
      <c r="G212" t="s">
        <v>775</v>
      </c>
      <c r="H212" t="s">
        <v>776</v>
      </c>
      <c r="I212" s="4">
        <v>2.99</v>
      </c>
      <c r="J212" t="s">
        <v>73</v>
      </c>
      <c r="K212" t="s">
        <v>42</v>
      </c>
      <c r="L212" t="s">
        <v>23</v>
      </c>
      <c r="M212" t="s">
        <v>32</v>
      </c>
    </row>
    <row r="213" spans="1:14" x14ac:dyDescent="0.3">
      <c r="A213" s="3" t="s">
        <v>777</v>
      </c>
      <c r="B213" s="3" t="s">
        <v>26</v>
      </c>
      <c r="C213" s="3" t="s">
        <v>16</v>
      </c>
      <c r="D213" t="s">
        <v>68</v>
      </c>
      <c r="E213" t="s">
        <v>69</v>
      </c>
      <c r="F213" t="s">
        <v>69</v>
      </c>
      <c r="G213" t="s">
        <v>778</v>
      </c>
      <c r="H213" t="s">
        <v>779</v>
      </c>
      <c r="I213" s="4">
        <v>4.5599999999999996</v>
      </c>
      <c r="J213" t="s">
        <v>50</v>
      </c>
      <c r="K213" t="s">
        <v>22</v>
      </c>
      <c r="L213" t="s">
        <v>23</v>
      </c>
      <c r="M213" t="s">
        <v>24</v>
      </c>
    </row>
    <row r="214" spans="1:14" x14ac:dyDescent="0.3">
      <c r="A214" s="3" t="s">
        <v>780</v>
      </c>
      <c r="B214" s="3" t="s">
        <v>59</v>
      </c>
      <c r="C214" s="3" t="s">
        <v>16</v>
      </c>
      <c r="D214" t="s">
        <v>188</v>
      </c>
      <c r="E214" t="s">
        <v>189</v>
      </c>
      <c r="F214" t="s">
        <v>189</v>
      </c>
      <c r="G214" t="s">
        <v>781</v>
      </c>
      <c r="H214" t="s">
        <v>782</v>
      </c>
      <c r="I214" s="4">
        <v>2.46</v>
      </c>
      <c r="J214" t="s">
        <v>21</v>
      </c>
      <c r="K214" t="s">
        <v>22</v>
      </c>
      <c r="L214" t="s">
        <v>23</v>
      </c>
      <c r="M214" t="s">
        <v>32</v>
      </c>
    </row>
    <row r="215" spans="1:14" x14ac:dyDescent="0.3">
      <c r="A215" s="3" t="s">
        <v>783</v>
      </c>
      <c r="B215" s="3" t="s">
        <v>15</v>
      </c>
      <c r="C215" s="3" t="s">
        <v>16</v>
      </c>
      <c r="D215" t="s">
        <v>188</v>
      </c>
      <c r="E215" t="s">
        <v>189</v>
      </c>
      <c r="F215" t="s">
        <v>190</v>
      </c>
      <c r="G215" t="s">
        <v>784</v>
      </c>
      <c r="H215" t="s">
        <v>785</v>
      </c>
      <c r="I215" s="4">
        <v>1.85</v>
      </c>
      <c r="J215" t="s">
        <v>73</v>
      </c>
      <c r="K215" t="s">
        <v>42</v>
      </c>
      <c r="L215" t="s">
        <v>23</v>
      </c>
      <c r="M215" t="s">
        <v>43</v>
      </c>
    </row>
    <row r="216" spans="1:14" x14ac:dyDescent="0.3">
      <c r="A216" s="3" t="s">
        <v>786</v>
      </c>
      <c r="B216" s="3" t="s">
        <v>158</v>
      </c>
      <c r="C216" s="3" t="s">
        <v>16</v>
      </c>
      <c r="D216" t="s">
        <v>75</v>
      </c>
      <c r="E216" t="s">
        <v>251</v>
      </c>
      <c r="F216" t="s">
        <v>787</v>
      </c>
      <c r="G216" t="s">
        <v>788</v>
      </c>
      <c r="H216" t="s">
        <v>789</v>
      </c>
      <c r="I216" s="4">
        <v>1.06</v>
      </c>
      <c r="J216" t="s">
        <v>21</v>
      </c>
      <c r="K216" t="s">
        <v>101</v>
      </c>
      <c r="L216" t="s">
        <v>23</v>
      </c>
      <c r="M216" t="s">
        <v>24</v>
      </c>
    </row>
    <row r="217" spans="1:14" x14ac:dyDescent="0.3">
      <c r="A217" s="3" t="s">
        <v>790</v>
      </c>
      <c r="B217" s="3" t="s">
        <v>59</v>
      </c>
      <c r="C217" s="3" t="s">
        <v>16</v>
      </c>
      <c r="D217" t="s">
        <v>68</v>
      </c>
      <c r="E217" t="s">
        <v>69</v>
      </c>
      <c r="F217" t="s">
        <v>69</v>
      </c>
      <c r="G217" t="s">
        <v>791</v>
      </c>
      <c r="H217" t="s">
        <v>792</v>
      </c>
      <c r="I217" s="4">
        <v>1.41</v>
      </c>
      <c r="J217" t="s">
        <v>41</v>
      </c>
      <c r="K217" t="s">
        <v>42</v>
      </c>
      <c r="L217" t="s">
        <v>23</v>
      </c>
      <c r="M217" t="s">
        <v>43</v>
      </c>
    </row>
    <row r="218" spans="1:14" x14ac:dyDescent="0.3">
      <c r="A218" s="3" t="s">
        <v>793</v>
      </c>
      <c r="B218" s="3" t="s">
        <v>34</v>
      </c>
      <c r="C218" s="3" t="s">
        <v>35</v>
      </c>
      <c r="D218" t="s">
        <v>36</v>
      </c>
      <c r="E218" t="s">
        <v>175</v>
      </c>
      <c r="F218" t="s">
        <v>366</v>
      </c>
      <c r="G218" t="s">
        <v>794</v>
      </c>
      <c r="H218" t="s">
        <v>795</v>
      </c>
      <c r="I218" s="4">
        <v>2.62</v>
      </c>
      <c r="J218" t="s">
        <v>41</v>
      </c>
      <c r="K218" t="s">
        <v>42</v>
      </c>
      <c r="L218" t="s">
        <v>23</v>
      </c>
      <c r="M218" t="s">
        <v>43</v>
      </c>
    </row>
    <row r="219" spans="1:14" x14ac:dyDescent="0.3">
      <c r="A219" s="3" t="s">
        <v>796</v>
      </c>
      <c r="B219" s="3" t="s">
        <v>15</v>
      </c>
      <c r="C219" s="3" t="s">
        <v>16</v>
      </c>
      <c r="D219" t="s">
        <v>75</v>
      </c>
      <c r="E219" t="s">
        <v>76</v>
      </c>
      <c r="F219" t="s">
        <v>440</v>
      </c>
      <c r="G219" t="s">
        <v>797</v>
      </c>
      <c r="H219" t="s">
        <v>798</v>
      </c>
      <c r="I219" s="4">
        <v>0.54</v>
      </c>
      <c r="J219" t="s">
        <v>21</v>
      </c>
      <c r="K219" t="s">
        <v>22</v>
      </c>
      <c r="L219" t="s">
        <v>23</v>
      </c>
      <c r="M219" t="s">
        <v>32</v>
      </c>
    </row>
    <row r="220" spans="1:14" x14ac:dyDescent="0.3">
      <c r="A220" s="3" t="s">
        <v>799</v>
      </c>
      <c r="B220" s="3" t="s">
        <v>87</v>
      </c>
      <c r="C220" s="3" t="s">
        <v>35</v>
      </c>
      <c r="D220" t="s">
        <v>36</v>
      </c>
      <c r="E220" t="s">
        <v>175</v>
      </c>
      <c r="F220" t="s">
        <v>175</v>
      </c>
      <c r="G220" t="s">
        <v>800</v>
      </c>
      <c r="H220" t="s">
        <v>801</v>
      </c>
      <c r="I220" s="4">
        <v>4.03</v>
      </c>
      <c r="J220" t="s">
        <v>21</v>
      </c>
      <c r="K220" t="s">
        <v>101</v>
      </c>
      <c r="L220" t="s">
        <v>23</v>
      </c>
      <c r="M220" t="s">
        <v>32</v>
      </c>
    </row>
    <row r="221" spans="1:14" x14ac:dyDescent="0.3">
      <c r="A221" s="3" t="s">
        <v>802</v>
      </c>
      <c r="B221" s="3" t="s">
        <v>67</v>
      </c>
      <c r="C221" s="3" t="s">
        <v>16</v>
      </c>
      <c r="D221" t="s">
        <v>188</v>
      </c>
      <c r="E221" t="s">
        <v>263</v>
      </c>
      <c r="F221" t="s">
        <v>436</v>
      </c>
      <c r="G221" t="s">
        <v>803</v>
      </c>
      <c r="H221" t="s">
        <v>804</v>
      </c>
      <c r="I221" s="4">
        <v>0.82</v>
      </c>
      <c r="J221" t="s">
        <v>41</v>
      </c>
      <c r="K221" t="s">
        <v>57</v>
      </c>
      <c r="L221" t="s">
        <v>23</v>
      </c>
      <c r="M221" t="s">
        <v>43</v>
      </c>
    </row>
    <row r="222" spans="1:14" x14ac:dyDescent="0.3">
      <c r="A222" s="3" t="s">
        <v>805</v>
      </c>
      <c r="B222" s="3" t="s">
        <v>26</v>
      </c>
      <c r="C222" s="3" t="s">
        <v>16</v>
      </c>
      <c r="D222" t="s">
        <v>188</v>
      </c>
      <c r="E222" t="s">
        <v>189</v>
      </c>
      <c r="F222" t="s">
        <v>190</v>
      </c>
      <c r="G222" s="2">
        <v>46147</v>
      </c>
      <c r="H222" t="s">
        <v>806</v>
      </c>
      <c r="I222" s="4">
        <v>4.42</v>
      </c>
      <c r="J222" t="s">
        <v>73</v>
      </c>
      <c r="K222" t="s">
        <v>42</v>
      </c>
      <c r="L222" t="s">
        <v>23</v>
      </c>
      <c r="M222" t="s">
        <v>32</v>
      </c>
    </row>
    <row r="223" spans="1:14" x14ac:dyDescent="0.3">
      <c r="A223" s="3" t="s">
        <v>807</v>
      </c>
      <c r="B223" s="3" t="s">
        <v>194</v>
      </c>
      <c r="C223" s="3" t="s">
        <v>35</v>
      </c>
      <c r="D223" t="s">
        <v>36</v>
      </c>
      <c r="E223" t="s">
        <v>53</v>
      </c>
      <c r="F223" t="s">
        <v>808</v>
      </c>
      <c r="G223" t="s">
        <v>809</v>
      </c>
      <c r="H223" t="s">
        <v>810</v>
      </c>
      <c r="I223" s="4">
        <v>1.1299999999999999</v>
      </c>
      <c r="J223" t="s">
        <v>73</v>
      </c>
      <c r="K223" t="s">
        <v>101</v>
      </c>
      <c r="L223" t="s">
        <v>23</v>
      </c>
      <c r="M223" t="s">
        <v>43</v>
      </c>
    </row>
    <row r="224" spans="1:14" x14ac:dyDescent="0.3">
      <c r="A224" s="3" t="s">
        <v>811</v>
      </c>
      <c r="B224" s="3" t="s">
        <v>113</v>
      </c>
      <c r="C224" s="3" t="s">
        <v>35</v>
      </c>
      <c r="D224" t="s">
        <v>36</v>
      </c>
      <c r="E224" t="s">
        <v>175</v>
      </c>
      <c r="F224" t="s">
        <v>175</v>
      </c>
      <c r="G224" t="s">
        <v>812</v>
      </c>
      <c r="H224" t="s">
        <v>813</v>
      </c>
      <c r="I224" s="4">
        <v>4.43</v>
      </c>
      <c r="J224" t="s">
        <v>41</v>
      </c>
      <c r="K224" t="s">
        <v>42</v>
      </c>
      <c r="L224" t="s">
        <v>119</v>
      </c>
      <c r="M224" t="s">
        <v>85</v>
      </c>
      <c r="N224" s="1">
        <v>45282</v>
      </c>
    </row>
    <row r="225" spans="1:14" x14ac:dyDescent="0.3">
      <c r="A225" s="3" t="s">
        <v>814</v>
      </c>
      <c r="B225" s="3" t="s">
        <v>113</v>
      </c>
      <c r="C225" s="3" t="s">
        <v>35</v>
      </c>
      <c r="D225" t="s">
        <v>114</v>
      </c>
      <c r="E225" t="s">
        <v>115</v>
      </c>
      <c r="F225" t="s">
        <v>617</v>
      </c>
      <c r="G225" t="s">
        <v>815</v>
      </c>
      <c r="H225" t="s">
        <v>816</v>
      </c>
      <c r="I225" s="4">
        <v>2.39</v>
      </c>
      <c r="J225" t="s">
        <v>50</v>
      </c>
      <c r="K225" t="s">
        <v>22</v>
      </c>
      <c r="L225" t="s">
        <v>23</v>
      </c>
      <c r="M225" t="s">
        <v>24</v>
      </c>
    </row>
    <row r="226" spans="1:14" x14ac:dyDescent="0.3">
      <c r="A226" s="3" t="s">
        <v>817</v>
      </c>
      <c r="B226" s="3" t="s">
        <v>87</v>
      </c>
      <c r="C226" s="3" t="s">
        <v>35</v>
      </c>
      <c r="D226" t="s">
        <v>167</v>
      </c>
      <c r="E226" t="s">
        <v>168</v>
      </c>
      <c r="F226" t="s">
        <v>486</v>
      </c>
      <c r="G226" t="s">
        <v>818</v>
      </c>
      <c r="H226" t="s">
        <v>678</v>
      </c>
      <c r="I226" s="4">
        <v>3.52</v>
      </c>
      <c r="J226" t="s">
        <v>73</v>
      </c>
      <c r="K226" t="s">
        <v>101</v>
      </c>
      <c r="L226" t="s">
        <v>23</v>
      </c>
      <c r="M226" t="s">
        <v>43</v>
      </c>
    </row>
    <row r="227" spans="1:14" x14ac:dyDescent="0.3">
      <c r="A227" s="3" t="s">
        <v>819</v>
      </c>
      <c r="B227" s="3" t="s">
        <v>103</v>
      </c>
      <c r="C227" s="3" t="s">
        <v>16</v>
      </c>
      <c r="D227" t="s">
        <v>104</v>
      </c>
      <c r="E227" t="s">
        <v>105</v>
      </c>
      <c r="F227" t="s">
        <v>820</v>
      </c>
      <c r="G227" t="s">
        <v>821</v>
      </c>
      <c r="H227" t="s">
        <v>822</v>
      </c>
      <c r="I227" s="4">
        <v>1.1100000000000001</v>
      </c>
      <c r="J227" t="s">
        <v>21</v>
      </c>
      <c r="K227" t="s">
        <v>101</v>
      </c>
      <c r="L227" t="s">
        <v>23</v>
      </c>
      <c r="M227" t="s">
        <v>32</v>
      </c>
    </row>
    <row r="228" spans="1:14" x14ac:dyDescent="0.3">
      <c r="A228" s="3" t="s">
        <v>823</v>
      </c>
      <c r="B228" s="3" t="s">
        <v>113</v>
      </c>
      <c r="C228" s="3" t="s">
        <v>35</v>
      </c>
      <c r="D228" t="s">
        <v>36</v>
      </c>
      <c r="E228" t="s">
        <v>37</v>
      </c>
      <c r="F228" t="s">
        <v>566</v>
      </c>
      <c r="G228" t="s">
        <v>824</v>
      </c>
      <c r="H228" t="s">
        <v>825</v>
      </c>
      <c r="I228" s="4">
        <v>2.86</v>
      </c>
      <c r="J228" t="s">
        <v>50</v>
      </c>
      <c r="K228" t="s">
        <v>22</v>
      </c>
      <c r="L228" t="s">
        <v>23</v>
      </c>
      <c r="M228" t="s">
        <v>24</v>
      </c>
    </row>
    <row r="229" spans="1:14" x14ac:dyDescent="0.3">
      <c r="A229" s="3" t="s">
        <v>826</v>
      </c>
      <c r="B229" s="3" t="s">
        <v>59</v>
      </c>
      <c r="C229" s="3" t="s">
        <v>16</v>
      </c>
      <c r="D229" t="s">
        <v>188</v>
      </c>
      <c r="E229" t="s">
        <v>189</v>
      </c>
      <c r="F229" t="s">
        <v>190</v>
      </c>
      <c r="G229" t="s">
        <v>827</v>
      </c>
      <c r="H229" t="s">
        <v>828</v>
      </c>
      <c r="I229" s="4">
        <v>3.09</v>
      </c>
      <c r="J229" t="s">
        <v>73</v>
      </c>
      <c r="K229" t="s">
        <v>101</v>
      </c>
      <c r="L229" t="s">
        <v>23</v>
      </c>
      <c r="M229" t="s">
        <v>43</v>
      </c>
    </row>
    <row r="230" spans="1:14" x14ac:dyDescent="0.3">
      <c r="A230" s="3" t="s">
        <v>829</v>
      </c>
      <c r="B230" s="3" t="s">
        <v>80</v>
      </c>
      <c r="C230" s="3" t="s">
        <v>16</v>
      </c>
      <c r="D230" t="s">
        <v>188</v>
      </c>
      <c r="E230" t="s">
        <v>263</v>
      </c>
      <c r="F230" t="s">
        <v>69</v>
      </c>
      <c r="G230" t="s">
        <v>830</v>
      </c>
      <c r="H230" t="s">
        <v>831</v>
      </c>
      <c r="I230" s="4">
        <v>2.08</v>
      </c>
      <c r="J230" t="s">
        <v>41</v>
      </c>
      <c r="K230" t="s">
        <v>42</v>
      </c>
      <c r="L230" t="s">
        <v>119</v>
      </c>
      <c r="M230" t="s">
        <v>43</v>
      </c>
    </row>
    <row r="231" spans="1:14" x14ac:dyDescent="0.3">
      <c r="A231" s="3" t="s">
        <v>832</v>
      </c>
      <c r="B231" s="3" t="s">
        <v>15</v>
      </c>
      <c r="C231" s="3" t="s">
        <v>16</v>
      </c>
      <c r="D231" t="s">
        <v>75</v>
      </c>
      <c r="E231" t="s">
        <v>76</v>
      </c>
      <c r="F231" t="s">
        <v>833</v>
      </c>
      <c r="G231" t="s">
        <v>834</v>
      </c>
      <c r="H231" t="s">
        <v>835</v>
      </c>
      <c r="I231" s="4">
        <v>2.04</v>
      </c>
      <c r="J231" t="s">
        <v>50</v>
      </c>
      <c r="K231" t="s">
        <v>22</v>
      </c>
      <c r="L231" t="s">
        <v>23</v>
      </c>
      <c r="M231" t="s">
        <v>24</v>
      </c>
    </row>
    <row r="232" spans="1:14" x14ac:dyDescent="0.3">
      <c r="A232" s="3" t="s">
        <v>836</v>
      </c>
      <c r="B232" s="3" t="s">
        <v>59</v>
      </c>
      <c r="C232" s="3" t="s">
        <v>16</v>
      </c>
      <c r="D232" t="s">
        <v>75</v>
      </c>
      <c r="E232" t="s">
        <v>75</v>
      </c>
      <c r="F232" t="s">
        <v>649</v>
      </c>
      <c r="G232" t="s">
        <v>837</v>
      </c>
      <c r="H232" t="s">
        <v>838</v>
      </c>
      <c r="I232" s="4">
        <v>4.78</v>
      </c>
      <c r="J232" t="s">
        <v>41</v>
      </c>
      <c r="K232" t="s">
        <v>42</v>
      </c>
      <c r="L232" t="s">
        <v>23</v>
      </c>
      <c r="M232" t="s">
        <v>85</v>
      </c>
    </row>
    <row r="233" spans="1:14" x14ac:dyDescent="0.3">
      <c r="A233" s="3" t="s">
        <v>839</v>
      </c>
      <c r="B233" s="3" t="s">
        <v>87</v>
      </c>
      <c r="C233" s="3" t="s">
        <v>35</v>
      </c>
      <c r="D233" t="s">
        <v>167</v>
      </c>
      <c r="E233" t="s">
        <v>168</v>
      </c>
      <c r="F233" t="s">
        <v>463</v>
      </c>
      <c r="G233" t="s">
        <v>840</v>
      </c>
      <c r="H233" t="s">
        <v>841</v>
      </c>
      <c r="I233" s="4">
        <v>0.95</v>
      </c>
      <c r="J233" t="s">
        <v>50</v>
      </c>
      <c r="K233" t="s">
        <v>22</v>
      </c>
      <c r="L233" t="s">
        <v>23</v>
      </c>
      <c r="M233" t="s">
        <v>24</v>
      </c>
    </row>
    <row r="234" spans="1:14" x14ac:dyDescent="0.3">
      <c r="A234" s="3" t="s">
        <v>842</v>
      </c>
      <c r="B234" s="3" t="s">
        <v>34</v>
      </c>
      <c r="C234" s="3" t="s">
        <v>35</v>
      </c>
      <c r="D234" t="s">
        <v>167</v>
      </c>
      <c r="E234" t="s">
        <v>350</v>
      </c>
      <c r="F234" t="s">
        <v>509</v>
      </c>
      <c r="G234" t="s">
        <v>843</v>
      </c>
      <c r="H234" t="s">
        <v>844</v>
      </c>
      <c r="I234" s="4">
        <v>2.4900000000000002</v>
      </c>
      <c r="J234" t="s">
        <v>21</v>
      </c>
      <c r="K234" t="s">
        <v>101</v>
      </c>
      <c r="L234" t="s">
        <v>23</v>
      </c>
      <c r="M234" t="s">
        <v>24</v>
      </c>
    </row>
    <row r="235" spans="1:14" x14ac:dyDescent="0.3">
      <c r="A235" s="3" t="s">
        <v>845</v>
      </c>
      <c r="B235" s="3" t="s">
        <v>87</v>
      </c>
      <c r="C235" s="3" t="s">
        <v>35</v>
      </c>
      <c r="D235" t="s">
        <v>167</v>
      </c>
      <c r="E235" t="s">
        <v>350</v>
      </c>
      <c r="F235" t="s">
        <v>350</v>
      </c>
      <c r="G235" t="s">
        <v>846</v>
      </c>
      <c r="H235" t="s">
        <v>847</v>
      </c>
      <c r="I235" s="4">
        <v>3.38</v>
      </c>
      <c r="J235" t="s">
        <v>41</v>
      </c>
      <c r="K235" t="s">
        <v>57</v>
      </c>
      <c r="L235" t="s">
        <v>119</v>
      </c>
      <c r="M235" t="s">
        <v>85</v>
      </c>
      <c r="N235" s="1">
        <v>44969</v>
      </c>
    </row>
    <row r="236" spans="1:14" x14ac:dyDescent="0.3">
      <c r="A236" s="3" t="s">
        <v>848</v>
      </c>
      <c r="B236" s="3" t="s">
        <v>158</v>
      </c>
      <c r="C236" s="3" t="s">
        <v>16</v>
      </c>
      <c r="D236" t="s">
        <v>17</v>
      </c>
      <c r="E236" t="s">
        <v>81</v>
      </c>
      <c r="F236" t="s">
        <v>81</v>
      </c>
      <c r="G236" t="s">
        <v>849</v>
      </c>
      <c r="H236" t="s">
        <v>492</v>
      </c>
      <c r="I236" s="4">
        <v>1.93</v>
      </c>
      <c r="J236" t="s">
        <v>73</v>
      </c>
      <c r="K236" t="s">
        <v>57</v>
      </c>
      <c r="L236" t="s">
        <v>23</v>
      </c>
      <c r="M236" t="s">
        <v>43</v>
      </c>
    </row>
    <row r="237" spans="1:14" x14ac:dyDescent="0.3">
      <c r="A237" s="3" t="s">
        <v>850</v>
      </c>
      <c r="B237" s="3" t="s">
        <v>287</v>
      </c>
      <c r="C237" s="3" t="s">
        <v>35</v>
      </c>
      <c r="D237" t="s">
        <v>88</v>
      </c>
      <c r="E237" t="s">
        <v>89</v>
      </c>
      <c r="F237" t="s">
        <v>94</v>
      </c>
      <c r="G237" t="s">
        <v>851</v>
      </c>
      <c r="H237" t="s">
        <v>852</v>
      </c>
      <c r="I237" s="4">
        <v>2.4900000000000002</v>
      </c>
      <c r="J237" t="s">
        <v>21</v>
      </c>
      <c r="K237" t="s">
        <v>22</v>
      </c>
      <c r="L237" t="s">
        <v>23</v>
      </c>
      <c r="M237" t="s">
        <v>24</v>
      </c>
    </row>
    <row r="238" spans="1:14" x14ac:dyDescent="0.3">
      <c r="A238" s="3" t="s">
        <v>853</v>
      </c>
      <c r="B238" s="3" t="s">
        <v>63</v>
      </c>
      <c r="C238" s="3" t="s">
        <v>35</v>
      </c>
      <c r="D238" t="s">
        <v>45</v>
      </c>
      <c r="E238" t="s">
        <v>138</v>
      </c>
      <c r="F238" t="s">
        <v>553</v>
      </c>
      <c r="G238" t="s">
        <v>854</v>
      </c>
      <c r="H238" t="s">
        <v>855</v>
      </c>
      <c r="I238" s="4">
        <v>3.14</v>
      </c>
      <c r="J238" t="s">
        <v>50</v>
      </c>
      <c r="K238" t="s">
        <v>22</v>
      </c>
      <c r="L238" t="s">
        <v>23</v>
      </c>
      <c r="M238" t="s">
        <v>24</v>
      </c>
    </row>
    <row r="239" spans="1:14" x14ac:dyDescent="0.3">
      <c r="A239" s="3" t="s">
        <v>856</v>
      </c>
      <c r="B239" s="3" t="s">
        <v>80</v>
      </c>
      <c r="C239" s="3" t="s">
        <v>16</v>
      </c>
      <c r="D239" t="s">
        <v>104</v>
      </c>
      <c r="E239" t="s">
        <v>274</v>
      </c>
      <c r="F239" t="s">
        <v>440</v>
      </c>
      <c r="G239" t="s">
        <v>857</v>
      </c>
      <c r="H239" t="s">
        <v>858</v>
      </c>
      <c r="I239" s="4">
        <v>3.44</v>
      </c>
      <c r="J239" t="s">
        <v>50</v>
      </c>
      <c r="K239" t="s">
        <v>22</v>
      </c>
      <c r="L239" t="s">
        <v>23</v>
      </c>
      <c r="M239" t="s">
        <v>24</v>
      </c>
    </row>
    <row r="240" spans="1:14" x14ac:dyDescent="0.3">
      <c r="A240" s="3" t="s">
        <v>859</v>
      </c>
      <c r="B240" s="3" t="s">
        <v>124</v>
      </c>
      <c r="C240" s="3" t="s">
        <v>16</v>
      </c>
      <c r="D240" t="s">
        <v>68</v>
      </c>
      <c r="E240" t="s">
        <v>69</v>
      </c>
      <c r="F240" t="s">
        <v>70</v>
      </c>
      <c r="G240" t="s">
        <v>860</v>
      </c>
      <c r="H240" t="s">
        <v>861</v>
      </c>
      <c r="I240" s="4">
        <v>1.29</v>
      </c>
      <c r="J240" t="s">
        <v>50</v>
      </c>
      <c r="K240" t="s">
        <v>22</v>
      </c>
      <c r="L240" t="s">
        <v>23</v>
      </c>
      <c r="M240" t="s">
        <v>24</v>
      </c>
    </row>
    <row r="241" spans="1:14" x14ac:dyDescent="0.3">
      <c r="A241" s="3" t="s">
        <v>862</v>
      </c>
      <c r="B241" s="3" t="s">
        <v>87</v>
      </c>
      <c r="C241" s="3" t="s">
        <v>35</v>
      </c>
      <c r="D241" t="s">
        <v>167</v>
      </c>
      <c r="E241" t="s">
        <v>350</v>
      </c>
      <c r="F241" t="s">
        <v>863</v>
      </c>
      <c r="G241" t="s">
        <v>864</v>
      </c>
      <c r="H241" t="s">
        <v>406</v>
      </c>
      <c r="I241" s="4">
        <v>3.96</v>
      </c>
      <c r="J241" t="s">
        <v>73</v>
      </c>
      <c r="K241" t="s">
        <v>101</v>
      </c>
      <c r="L241" t="s">
        <v>23</v>
      </c>
      <c r="M241" t="s">
        <v>43</v>
      </c>
    </row>
    <row r="242" spans="1:14" x14ac:dyDescent="0.3">
      <c r="A242" s="3" t="s">
        <v>865</v>
      </c>
      <c r="B242" s="3" t="s">
        <v>59</v>
      </c>
      <c r="C242" s="3" t="s">
        <v>16</v>
      </c>
      <c r="D242" t="s">
        <v>68</v>
      </c>
      <c r="E242" t="s">
        <v>69</v>
      </c>
      <c r="F242" t="s">
        <v>524</v>
      </c>
      <c r="G242" t="s">
        <v>866</v>
      </c>
      <c r="H242" t="s">
        <v>867</v>
      </c>
      <c r="I242" s="4">
        <v>1.94</v>
      </c>
      <c r="J242" t="s">
        <v>21</v>
      </c>
      <c r="K242" t="s">
        <v>101</v>
      </c>
      <c r="L242" t="s">
        <v>23</v>
      </c>
      <c r="M242" t="s">
        <v>32</v>
      </c>
    </row>
    <row r="243" spans="1:14" x14ac:dyDescent="0.3">
      <c r="A243" s="3" t="s">
        <v>868</v>
      </c>
      <c r="B243" s="3" t="s">
        <v>34</v>
      </c>
      <c r="C243" s="3" t="s">
        <v>35</v>
      </c>
      <c r="D243" t="s">
        <v>114</v>
      </c>
      <c r="E243" t="s">
        <v>115</v>
      </c>
      <c r="F243" t="s">
        <v>116</v>
      </c>
      <c r="G243" t="s">
        <v>869</v>
      </c>
      <c r="H243" t="s">
        <v>870</v>
      </c>
      <c r="I243" s="4">
        <v>3.55</v>
      </c>
      <c r="J243" t="s">
        <v>50</v>
      </c>
      <c r="K243" t="s">
        <v>22</v>
      </c>
      <c r="L243" t="s">
        <v>23</v>
      </c>
      <c r="M243" t="s">
        <v>24</v>
      </c>
    </row>
    <row r="244" spans="1:14" x14ac:dyDescent="0.3">
      <c r="A244" s="3" t="s">
        <v>871</v>
      </c>
      <c r="B244" s="3" t="s">
        <v>194</v>
      </c>
      <c r="C244" s="3" t="s">
        <v>35</v>
      </c>
      <c r="D244" t="s">
        <v>45</v>
      </c>
      <c r="E244" t="s">
        <v>138</v>
      </c>
      <c r="F244" t="s">
        <v>240</v>
      </c>
      <c r="G244" t="s">
        <v>872</v>
      </c>
      <c r="H244" t="s">
        <v>873</v>
      </c>
      <c r="I244" s="4">
        <v>1.27</v>
      </c>
      <c r="J244" t="s">
        <v>41</v>
      </c>
      <c r="K244" t="s">
        <v>42</v>
      </c>
      <c r="L244" t="s">
        <v>23</v>
      </c>
      <c r="M244" t="s">
        <v>43</v>
      </c>
    </row>
    <row r="245" spans="1:14" x14ac:dyDescent="0.3">
      <c r="A245" s="3" t="s">
        <v>874</v>
      </c>
      <c r="B245" s="3" t="s">
        <v>87</v>
      </c>
      <c r="C245" s="3" t="s">
        <v>35</v>
      </c>
      <c r="D245" t="s">
        <v>114</v>
      </c>
      <c r="E245" t="s">
        <v>115</v>
      </c>
      <c r="F245" t="s">
        <v>216</v>
      </c>
      <c r="G245" t="s">
        <v>875</v>
      </c>
      <c r="H245" t="s">
        <v>876</v>
      </c>
      <c r="I245" s="4">
        <v>4.8</v>
      </c>
      <c r="J245" t="s">
        <v>21</v>
      </c>
      <c r="K245" t="s">
        <v>101</v>
      </c>
      <c r="L245" t="s">
        <v>23</v>
      </c>
      <c r="M245" t="s">
        <v>24</v>
      </c>
    </row>
    <row r="246" spans="1:14" x14ac:dyDescent="0.3">
      <c r="A246" s="3" t="s">
        <v>877</v>
      </c>
      <c r="B246" s="3" t="s">
        <v>26</v>
      </c>
      <c r="C246" s="3" t="s">
        <v>16</v>
      </c>
      <c r="D246" t="s">
        <v>27</v>
      </c>
      <c r="E246" t="s">
        <v>28</v>
      </c>
      <c r="F246" t="s">
        <v>29</v>
      </c>
      <c r="G246" t="s">
        <v>878</v>
      </c>
      <c r="H246" t="s">
        <v>879</v>
      </c>
      <c r="I246" s="4">
        <v>2.95</v>
      </c>
      <c r="J246" t="s">
        <v>21</v>
      </c>
      <c r="K246" t="s">
        <v>101</v>
      </c>
      <c r="L246" t="s">
        <v>23</v>
      </c>
      <c r="M246" t="s">
        <v>32</v>
      </c>
    </row>
    <row r="247" spans="1:14" x14ac:dyDescent="0.3">
      <c r="A247" s="3" t="s">
        <v>880</v>
      </c>
      <c r="B247" s="3" t="s">
        <v>87</v>
      </c>
      <c r="C247" s="3" t="s">
        <v>35</v>
      </c>
      <c r="D247" t="s">
        <v>114</v>
      </c>
      <c r="E247" t="s">
        <v>115</v>
      </c>
      <c r="F247" t="s">
        <v>617</v>
      </c>
      <c r="G247" t="s">
        <v>881</v>
      </c>
      <c r="H247" t="s">
        <v>882</v>
      </c>
      <c r="I247" s="4">
        <v>4.33</v>
      </c>
      <c r="J247" t="s">
        <v>73</v>
      </c>
      <c r="K247" t="s">
        <v>101</v>
      </c>
      <c r="L247" t="s">
        <v>23</v>
      </c>
      <c r="M247" t="s">
        <v>32</v>
      </c>
    </row>
    <row r="248" spans="1:14" x14ac:dyDescent="0.3">
      <c r="A248" s="3" t="s">
        <v>883</v>
      </c>
      <c r="B248" s="3" t="s">
        <v>59</v>
      </c>
      <c r="C248" s="3" t="s">
        <v>16</v>
      </c>
      <c r="D248" t="s">
        <v>17</v>
      </c>
      <c r="E248" t="s">
        <v>81</v>
      </c>
      <c r="F248" t="s">
        <v>159</v>
      </c>
      <c r="G248" t="s">
        <v>884</v>
      </c>
      <c r="H248" t="s">
        <v>885</v>
      </c>
      <c r="I248" s="4">
        <v>4.04</v>
      </c>
      <c r="J248" t="s">
        <v>21</v>
      </c>
      <c r="K248" t="s">
        <v>101</v>
      </c>
      <c r="L248" t="s">
        <v>23</v>
      </c>
      <c r="M248" t="s">
        <v>32</v>
      </c>
    </row>
    <row r="249" spans="1:14" x14ac:dyDescent="0.3">
      <c r="A249" s="3" t="s">
        <v>886</v>
      </c>
      <c r="B249" s="3" t="s">
        <v>80</v>
      </c>
      <c r="C249" s="3" t="s">
        <v>16</v>
      </c>
      <c r="D249" t="s">
        <v>17</v>
      </c>
      <c r="E249" t="s">
        <v>17</v>
      </c>
      <c r="F249" t="s">
        <v>81</v>
      </c>
      <c r="G249" t="s">
        <v>887</v>
      </c>
      <c r="H249" t="s">
        <v>888</v>
      </c>
      <c r="I249" s="4">
        <v>2.63</v>
      </c>
      <c r="J249" t="s">
        <v>21</v>
      </c>
      <c r="K249" t="s">
        <v>22</v>
      </c>
      <c r="L249" t="s">
        <v>23</v>
      </c>
      <c r="M249" t="s">
        <v>24</v>
      </c>
    </row>
    <row r="250" spans="1:14" x14ac:dyDescent="0.3">
      <c r="A250" s="3" t="s">
        <v>889</v>
      </c>
      <c r="B250" s="3" t="s">
        <v>34</v>
      </c>
      <c r="C250" s="3" t="s">
        <v>35</v>
      </c>
      <c r="D250" t="s">
        <v>88</v>
      </c>
      <c r="E250" t="s">
        <v>89</v>
      </c>
      <c r="F250" t="s">
        <v>332</v>
      </c>
      <c r="G250" t="s">
        <v>890</v>
      </c>
      <c r="H250" t="s">
        <v>431</v>
      </c>
      <c r="I250" s="4">
        <v>3.35</v>
      </c>
      <c r="J250" t="s">
        <v>21</v>
      </c>
      <c r="K250" t="s">
        <v>101</v>
      </c>
      <c r="L250" t="s">
        <v>23</v>
      </c>
      <c r="M250" t="s">
        <v>32</v>
      </c>
    </row>
    <row r="251" spans="1:14" x14ac:dyDescent="0.3">
      <c r="A251" s="3" t="s">
        <v>891</v>
      </c>
      <c r="B251" s="3" t="s">
        <v>15</v>
      </c>
      <c r="C251" s="3" t="s">
        <v>16</v>
      </c>
      <c r="D251" t="s">
        <v>27</v>
      </c>
      <c r="E251" t="s">
        <v>28</v>
      </c>
      <c r="F251" t="s">
        <v>29</v>
      </c>
      <c r="G251" t="s">
        <v>892</v>
      </c>
      <c r="H251" t="s">
        <v>893</v>
      </c>
      <c r="I251" s="4">
        <v>1.57</v>
      </c>
      <c r="J251" t="s">
        <v>41</v>
      </c>
      <c r="K251" t="s">
        <v>57</v>
      </c>
      <c r="L251" t="s">
        <v>119</v>
      </c>
      <c r="M251" t="s">
        <v>85</v>
      </c>
      <c r="N251" s="1">
        <v>44724</v>
      </c>
    </row>
    <row r="252" spans="1:14" x14ac:dyDescent="0.3">
      <c r="A252" s="3" t="s">
        <v>894</v>
      </c>
      <c r="B252" s="3" t="s">
        <v>80</v>
      </c>
      <c r="C252" s="3" t="s">
        <v>16</v>
      </c>
      <c r="D252" t="s">
        <v>27</v>
      </c>
      <c r="E252" t="s">
        <v>93</v>
      </c>
      <c r="F252" t="s">
        <v>343</v>
      </c>
      <c r="G252" t="s">
        <v>895</v>
      </c>
      <c r="H252" t="s">
        <v>896</v>
      </c>
      <c r="I252" s="4">
        <v>1.4</v>
      </c>
      <c r="J252" t="s">
        <v>50</v>
      </c>
      <c r="K252" t="s">
        <v>22</v>
      </c>
      <c r="L252" t="s">
        <v>23</v>
      </c>
      <c r="M252" t="s">
        <v>24</v>
      </c>
    </row>
    <row r="253" spans="1:14" x14ac:dyDescent="0.3">
      <c r="A253" s="3" t="s">
        <v>897</v>
      </c>
      <c r="B253" s="3" t="s">
        <v>131</v>
      </c>
      <c r="C253" s="3" t="s">
        <v>35</v>
      </c>
      <c r="D253" t="s">
        <v>114</v>
      </c>
      <c r="E253" t="s">
        <v>150</v>
      </c>
      <c r="F253" t="s">
        <v>898</v>
      </c>
      <c r="G253" t="s">
        <v>899</v>
      </c>
      <c r="H253" t="s">
        <v>900</v>
      </c>
      <c r="I253" s="4">
        <v>3.17</v>
      </c>
      <c r="J253" t="s">
        <v>41</v>
      </c>
      <c r="K253" t="s">
        <v>42</v>
      </c>
      <c r="L253" t="s">
        <v>23</v>
      </c>
      <c r="M253" t="s">
        <v>43</v>
      </c>
    </row>
    <row r="254" spans="1:14" x14ac:dyDescent="0.3">
      <c r="A254" s="3" t="s">
        <v>901</v>
      </c>
      <c r="B254" s="3" t="s">
        <v>158</v>
      </c>
      <c r="C254" s="3" t="s">
        <v>16</v>
      </c>
      <c r="D254" t="s">
        <v>104</v>
      </c>
      <c r="E254" t="s">
        <v>104</v>
      </c>
      <c r="F254" t="s">
        <v>104</v>
      </c>
      <c r="G254" t="s">
        <v>902</v>
      </c>
      <c r="H254" t="s">
        <v>903</v>
      </c>
      <c r="I254" s="4">
        <v>1.62</v>
      </c>
      <c r="J254" t="s">
        <v>41</v>
      </c>
      <c r="K254" t="s">
        <v>42</v>
      </c>
      <c r="L254" t="s">
        <v>119</v>
      </c>
      <c r="M254" t="s">
        <v>43</v>
      </c>
    </row>
    <row r="255" spans="1:14" x14ac:dyDescent="0.3">
      <c r="A255" s="3" t="s">
        <v>904</v>
      </c>
      <c r="B255" s="3" t="s">
        <v>194</v>
      </c>
      <c r="C255" s="3" t="s">
        <v>35</v>
      </c>
      <c r="D255" t="s">
        <v>88</v>
      </c>
      <c r="E255" t="s">
        <v>180</v>
      </c>
      <c r="F255" t="s">
        <v>676</v>
      </c>
      <c r="G255" t="s">
        <v>905</v>
      </c>
      <c r="H255" t="s">
        <v>906</v>
      </c>
      <c r="I255" s="4">
        <v>1.65</v>
      </c>
      <c r="J255" t="s">
        <v>50</v>
      </c>
      <c r="K255" t="s">
        <v>22</v>
      </c>
      <c r="L255" t="s">
        <v>23</v>
      </c>
      <c r="M255" t="s">
        <v>24</v>
      </c>
    </row>
    <row r="256" spans="1:14" x14ac:dyDescent="0.3">
      <c r="A256" s="3" t="s">
        <v>907</v>
      </c>
      <c r="B256" s="3" t="s">
        <v>158</v>
      </c>
      <c r="C256" s="3" t="s">
        <v>16</v>
      </c>
      <c r="D256" t="s">
        <v>188</v>
      </c>
      <c r="E256" t="s">
        <v>263</v>
      </c>
      <c r="F256" t="s">
        <v>396</v>
      </c>
      <c r="G256" t="s">
        <v>908</v>
      </c>
      <c r="H256" t="s">
        <v>909</v>
      </c>
      <c r="I256" s="4">
        <v>0.61</v>
      </c>
      <c r="J256" t="s">
        <v>73</v>
      </c>
      <c r="K256" t="s">
        <v>101</v>
      </c>
      <c r="L256" t="s">
        <v>23</v>
      </c>
      <c r="M256" t="s">
        <v>43</v>
      </c>
    </row>
    <row r="257" spans="1:13" x14ac:dyDescent="0.3">
      <c r="A257" s="3" t="s">
        <v>910</v>
      </c>
      <c r="B257" s="3" t="s">
        <v>124</v>
      </c>
      <c r="C257" s="3" t="s">
        <v>16</v>
      </c>
      <c r="D257" t="s">
        <v>68</v>
      </c>
      <c r="E257" t="s">
        <v>436</v>
      </c>
      <c r="F257" t="s">
        <v>436</v>
      </c>
      <c r="G257" t="s">
        <v>911</v>
      </c>
      <c r="H257" t="s">
        <v>912</v>
      </c>
      <c r="I257" s="4">
        <v>0.98</v>
      </c>
      <c r="J257" t="s">
        <v>50</v>
      </c>
      <c r="K257" t="s">
        <v>22</v>
      </c>
      <c r="L257" t="s">
        <v>23</v>
      </c>
      <c r="M257" t="s">
        <v>24</v>
      </c>
    </row>
    <row r="258" spans="1:13" x14ac:dyDescent="0.3">
      <c r="A258" s="3" t="s">
        <v>913</v>
      </c>
      <c r="B258" s="3" t="s">
        <v>131</v>
      </c>
      <c r="C258" s="3" t="s">
        <v>35</v>
      </c>
      <c r="D258" t="s">
        <v>114</v>
      </c>
      <c r="E258" t="s">
        <v>115</v>
      </c>
      <c r="F258" t="s">
        <v>116</v>
      </c>
      <c r="G258" t="s">
        <v>914</v>
      </c>
      <c r="H258" t="s">
        <v>118</v>
      </c>
      <c r="I258" s="4">
        <v>2.4300000000000002</v>
      </c>
      <c r="J258" t="s">
        <v>73</v>
      </c>
      <c r="K258" t="s">
        <v>101</v>
      </c>
      <c r="L258" t="s">
        <v>23</v>
      </c>
      <c r="M258" t="s">
        <v>43</v>
      </c>
    </row>
    <row r="259" spans="1:13" x14ac:dyDescent="0.3">
      <c r="A259" s="3" t="s">
        <v>915</v>
      </c>
      <c r="B259" s="3" t="s">
        <v>158</v>
      </c>
      <c r="C259" s="3" t="s">
        <v>16</v>
      </c>
      <c r="D259" t="s">
        <v>17</v>
      </c>
      <c r="E259" t="s">
        <v>81</v>
      </c>
      <c r="F259" t="s">
        <v>916</v>
      </c>
      <c r="G259" t="s">
        <v>917</v>
      </c>
      <c r="H259" t="s">
        <v>918</v>
      </c>
      <c r="I259" s="4">
        <v>4.22</v>
      </c>
      <c r="J259" t="s">
        <v>50</v>
      </c>
      <c r="K259" t="s">
        <v>22</v>
      </c>
      <c r="L259" t="s">
        <v>23</v>
      </c>
      <c r="M259" t="s">
        <v>24</v>
      </c>
    </row>
    <row r="260" spans="1:13" x14ac:dyDescent="0.3">
      <c r="A260" s="3" t="s">
        <v>919</v>
      </c>
      <c r="B260" s="3" t="s">
        <v>113</v>
      </c>
      <c r="C260" s="3" t="s">
        <v>35</v>
      </c>
      <c r="D260" t="s">
        <v>45</v>
      </c>
      <c r="E260" t="s">
        <v>46</v>
      </c>
      <c r="F260" t="s">
        <v>589</v>
      </c>
      <c r="G260" t="s">
        <v>920</v>
      </c>
      <c r="H260" t="s">
        <v>519</v>
      </c>
      <c r="I260" s="4">
        <v>0.88</v>
      </c>
      <c r="J260" t="s">
        <v>21</v>
      </c>
      <c r="K260" t="s">
        <v>101</v>
      </c>
      <c r="L260" t="s">
        <v>23</v>
      </c>
      <c r="M260" t="s">
        <v>24</v>
      </c>
    </row>
    <row r="261" spans="1:13" x14ac:dyDescent="0.3">
      <c r="A261" s="3" t="s">
        <v>921</v>
      </c>
      <c r="B261" s="3" t="s">
        <v>63</v>
      </c>
      <c r="C261" s="3" t="s">
        <v>35</v>
      </c>
      <c r="D261" t="s">
        <v>167</v>
      </c>
      <c r="E261" t="s">
        <v>168</v>
      </c>
      <c r="F261" t="s">
        <v>486</v>
      </c>
      <c r="G261" t="s">
        <v>922</v>
      </c>
      <c r="H261" t="s">
        <v>923</v>
      </c>
      <c r="I261" s="4">
        <v>1.6</v>
      </c>
      <c r="J261" t="s">
        <v>41</v>
      </c>
      <c r="K261" t="s">
        <v>57</v>
      </c>
      <c r="L261" t="s">
        <v>119</v>
      </c>
      <c r="M261" t="s">
        <v>43</v>
      </c>
    </row>
    <row r="262" spans="1:13" x14ac:dyDescent="0.3">
      <c r="A262" s="3" t="s">
        <v>924</v>
      </c>
      <c r="B262" s="3" t="s">
        <v>124</v>
      </c>
      <c r="C262" s="3" t="s">
        <v>16</v>
      </c>
      <c r="D262" t="s">
        <v>75</v>
      </c>
      <c r="E262" t="s">
        <v>75</v>
      </c>
      <c r="F262" t="s">
        <v>251</v>
      </c>
      <c r="G262" t="s">
        <v>925</v>
      </c>
      <c r="H262" t="s">
        <v>926</v>
      </c>
      <c r="I262" s="4">
        <v>1.23</v>
      </c>
      <c r="J262" t="s">
        <v>21</v>
      </c>
      <c r="K262" t="s">
        <v>22</v>
      </c>
      <c r="L262" t="s">
        <v>23</v>
      </c>
      <c r="M262" t="s">
        <v>24</v>
      </c>
    </row>
    <row r="263" spans="1:13" x14ac:dyDescent="0.3">
      <c r="A263" s="3" t="s">
        <v>927</v>
      </c>
      <c r="B263" s="3" t="s">
        <v>194</v>
      </c>
      <c r="C263" s="3" t="s">
        <v>35</v>
      </c>
      <c r="D263" t="s">
        <v>114</v>
      </c>
      <c r="E263" t="s">
        <v>279</v>
      </c>
      <c r="F263" t="s">
        <v>306</v>
      </c>
      <c r="G263" t="s">
        <v>928</v>
      </c>
      <c r="H263" t="s">
        <v>929</v>
      </c>
      <c r="I263" s="4">
        <v>2.04</v>
      </c>
      <c r="J263" t="s">
        <v>21</v>
      </c>
      <c r="K263" t="s">
        <v>101</v>
      </c>
      <c r="L263" t="s">
        <v>23</v>
      </c>
      <c r="M263" t="s">
        <v>32</v>
      </c>
    </row>
    <row r="264" spans="1:13" x14ac:dyDescent="0.3">
      <c r="A264" s="3" t="s">
        <v>930</v>
      </c>
      <c r="B264" s="3" t="s">
        <v>87</v>
      </c>
      <c r="C264" s="3" t="s">
        <v>35</v>
      </c>
      <c r="D264" t="s">
        <v>88</v>
      </c>
      <c r="E264" t="s">
        <v>180</v>
      </c>
      <c r="F264" t="s">
        <v>469</v>
      </c>
      <c r="G264" t="s">
        <v>931</v>
      </c>
      <c r="H264" t="s">
        <v>751</v>
      </c>
      <c r="I264" s="4">
        <v>1.9</v>
      </c>
      <c r="J264" t="s">
        <v>50</v>
      </c>
      <c r="K264" t="s">
        <v>22</v>
      </c>
      <c r="L264" t="s">
        <v>23</v>
      </c>
      <c r="M264" t="s">
        <v>24</v>
      </c>
    </row>
    <row r="265" spans="1:13" x14ac:dyDescent="0.3">
      <c r="A265" s="3" t="s">
        <v>932</v>
      </c>
      <c r="B265" s="3" t="s">
        <v>194</v>
      </c>
      <c r="C265" s="3" t="s">
        <v>35</v>
      </c>
      <c r="D265" t="s">
        <v>45</v>
      </c>
      <c r="E265" t="s">
        <v>45</v>
      </c>
      <c r="F265" t="s">
        <v>206</v>
      </c>
      <c r="G265" t="s">
        <v>933</v>
      </c>
      <c r="H265" t="s">
        <v>934</v>
      </c>
      <c r="I265" s="4">
        <v>4.46</v>
      </c>
      <c r="J265" t="s">
        <v>73</v>
      </c>
      <c r="K265" t="s">
        <v>57</v>
      </c>
      <c r="L265" t="s">
        <v>23</v>
      </c>
      <c r="M265" t="s">
        <v>32</v>
      </c>
    </row>
    <row r="266" spans="1:13" x14ac:dyDescent="0.3">
      <c r="A266" s="3" t="s">
        <v>935</v>
      </c>
      <c r="B266" s="3" t="s">
        <v>103</v>
      </c>
      <c r="C266" s="3" t="s">
        <v>16</v>
      </c>
      <c r="D266" t="s">
        <v>188</v>
      </c>
      <c r="E266" t="s">
        <v>189</v>
      </c>
      <c r="F266" t="s">
        <v>259</v>
      </c>
      <c r="G266" t="s">
        <v>936</v>
      </c>
      <c r="H266" t="s">
        <v>937</v>
      </c>
      <c r="I266" s="4">
        <v>2.3199999999999998</v>
      </c>
      <c r="J266" t="s">
        <v>50</v>
      </c>
      <c r="K266" t="s">
        <v>22</v>
      </c>
      <c r="L266" t="s">
        <v>23</v>
      </c>
      <c r="M266" t="s">
        <v>24</v>
      </c>
    </row>
    <row r="267" spans="1:13" x14ac:dyDescent="0.3">
      <c r="A267" s="3" t="s">
        <v>938</v>
      </c>
      <c r="B267" s="3" t="s">
        <v>67</v>
      </c>
      <c r="C267" s="3" t="s">
        <v>16</v>
      </c>
      <c r="D267" t="s">
        <v>17</v>
      </c>
      <c r="E267" t="s">
        <v>81</v>
      </c>
      <c r="F267" t="s">
        <v>159</v>
      </c>
      <c r="G267" t="s">
        <v>939</v>
      </c>
      <c r="H267" t="s">
        <v>940</v>
      </c>
      <c r="I267" s="4">
        <v>1.3</v>
      </c>
      <c r="J267" t="s">
        <v>50</v>
      </c>
      <c r="K267" t="s">
        <v>22</v>
      </c>
      <c r="L267" t="s">
        <v>23</v>
      </c>
      <c r="M267" t="s">
        <v>24</v>
      </c>
    </row>
    <row r="268" spans="1:13" x14ac:dyDescent="0.3">
      <c r="A268" s="3" t="s">
        <v>941</v>
      </c>
      <c r="B268" s="3" t="s">
        <v>131</v>
      </c>
      <c r="C268" s="3" t="s">
        <v>35</v>
      </c>
      <c r="D268" t="s">
        <v>36</v>
      </c>
      <c r="E268" t="s">
        <v>53</v>
      </c>
      <c r="F268" t="s">
        <v>53</v>
      </c>
      <c r="G268" t="s">
        <v>942</v>
      </c>
      <c r="H268" t="s">
        <v>943</v>
      </c>
      <c r="I268" s="4">
        <v>2.99</v>
      </c>
      <c r="J268" t="s">
        <v>50</v>
      </c>
      <c r="K268" t="s">
        <v>22</v>
      </c>
      <c r="L268" t="s">
        <v>23</v>
      </c>
      <c r="M268" t="s">
        <v>24</v>
      </c>
    </row>
    <row r="269" spans="1:13" x14ac:dyDescent="0.3">
      <c r="A269" s="3" t="s">
        <v>944</v>
      </c>
      <c r="B269" s="3" t="s">
        <v>87</v>
      </c>
      <c r="C269" s="3" t="s">
        <v>35</v>
      </c>
      <c r="D269" t="s">
        <v>45</v>
      </c>
      <c r="E269" t="s">
        <v>45</v>
      </c>
      <c r="F269" t="s">
        <v>655</v>
      </c>
      <c r="G269" t="s">
        <v>945</v>
      </c>
      <c r="H269" t="s">
        <v>946</v>
      </c>
      <c r="I269" s="4">
        <v>0.92</v>
      </c>
      <c r="J269" t="s">
        <v>50</v>
      </c>
      <c r="K269" t="s">
        <v>22</v>
      </c>
      <c r="L269" t="s">
        <v>23</v>
      </c>
      <c r="M269" t="s">
        <v>24</v>
      </c>
    </row>
    <row r="270" spans="1:13" x14ac:dyDescent="0.3">
      <c r="A270" s="3" t="s">
        <v>947</v>
      </c>
      <c r="B270" s="3" t="s">
        <v>87</v>
      </c>
      <c r="C270" s="3" t="s">
        <v>35</v>
      </c>
      <c r="D270" t="s">
        <v>88</v>
      </c>
      <c r="E270" t="s">
        <v>180</v>
      </c>
      <c r="F270" t="s">
        <v>948</v>
      </c>
      <c r="G270" t="s">
        <v>949</v>
      </c>
      <c r="H270" t="s">
        <v>950</v>
      </c>
      <c r="I270" s="4">
        <v>2.54</v>
      </c>
      <c r="J270" t="s">
        <v>50</v>
      </c>
      <c r="K270" t="s">
        <v>22</v>
      </c>
      <c r="L270" t="s">
        <v>23</v>
      </c>
      <c r="M270" t="s">
        <v>24</v>
      </c>
    </row>
    <row r="271" spans="1:13" x14ac:dyDescent="0.3">
      <c r="A271" s="3" t="s">
        <v>951</v>
      </c>
      <c r="B271" s="3" t="s">
        <v>63</v>
      </c>
      <c r="C271" s="3" t="s">
        <v>35</v>
      </c>
      <c r="D271" t="s">
        <v>167</v>
      </c>
      <c r="E271" t="s">
        <v>350</v>
      </c>
      <c r="F271" t="s">
        <v>509</v>
      </c>
      <c r="G271" t="s">
        <v>952</v>
      </c>
      <c r="H271" t="s">
        <v>953</v>
      </c>
      <c r="I271" s="4">
        <v>4.67</v>
      </c>
      <c r="J271" t="s">
        <v>21</v>
      </c>
      <c r="K271" t="s">
        <v>101</v>
      </c>
      <c r="L271" t="s">
        <v>23</v>
      </c>
      <c r="M271" t="s">
        <v>32</v>
      </c>
    </row>
    <row r="272" spans="1:13" x14ac:dyDescent="0.3">
      <c r="A272" s="3" t="s">
        <v>954</v>
      </c>
      <c r="B272" s="3" t="s">
        <v>124</v>
      </c>
      <c r="C272" s="3" t="s">
        <v>16</v>
      </c>
      <c r="D272" t="s">
        <v>17</v>
      </c>
      <c r="E272" t="s">
        <v>81</v>
      </c>
      <c r="F272" t="s">
        <v>82</v>
      </c>
      <c r="G272" t="s">
        <v>99</v>
      </c>
      <c r="H272" t="s">
        <v>955</v>
      </c>
      <c r="I272" s="4">
        <v>1.83</v>
      </c>
      <c r="J272" t="s">
        <v>73</v>
      </c>
      <c r="K272" t="s">
        <v>57</v>
      </c>
      <c r="L272" t="s">
        <v>23</v>
      </c>
      <c r="M272" t="s">
        <v>43</v>
      </c>
    </row>
    <row r="273" spans="1:13" x14ac:dyDescent="0.3">
      <c r="A273" s="3" t="s">
        <v>956</v>
      </c>
      <c r="B273" s="3" t="s">
        <v>194</v>
      </c>
      <c r="C273" s="3" t="s">
        <v>35</v>
      </c>
      <c r="D273" t="s">
        <v>114</v>
      </c>
      <c r="E273" t="s">
        <v>115</v>
      </c>
      <c r="F273" t="s">
        <v>216</v>
      </c>
      <c r="G273" t="s">
        <v>957</v>
      </c>
      <c r="H273" t="s">
        <v>958</v>
      </c>
      <c r="I273" s="4">
        <v>3.36</v>
      </c>
      <c r="J273" t="s">
        <v>41</v>
      </c>
      <c r="K273" t="s">
        <v>57</v>
      </c>
      <c r="L273" t="s">
        <v>119</v>
      </c>
      <c r="M273" t="s">
        <v>43</v>
      </c>
    </row>
    <row r="274" spans="1:13" x14ac:dyDescent="0.3">
      <c r="A274" s="3" t="s">
        <v>959</v>
      </c>
      <c r="B274" s="3" t="s">
        <v>80</v>
      </c>
      <c r="C274" s="3" t="s">
        <v>16</v>
      </c>
      <c r="D274" t="s">
        <v>17</v>
      </c>
      <c r="E274" t="s">
        <v>81</v>
      </c>
      <c r="F274" t="s">
        <v>81</v>
      </c>
      <c r="G274" t="s">
        <v>960</v>
      </c>
      <c r="H274" t="s">
        <v>961</v>
      </c>
      <c r="I274" s="4">
        <v>3.07</v>
      </c>
      <c r="J274" t="s">
        <v>41</v>
      </c>
      <c r="K274" t="s">
        <v>57</v>
      </c>
      <c r="L274" t="s">
        <v>119</v>
      </c>
      <c r="M274" t="s">
        <v>43</v>
      </c>
    </row>
    <row r="275" spans="1:13" x14ac:dyDescent="0.3">
      <c r="A275" s="3" t="s">
        <v>962</v>
      </c>
      <c r="B275" s="3" t="s">
        <v>52</v>
      </c>
      <c r="C275" s="3" t="s">
        <v>35</v>
      </c>
      <c r="D275" t="s">
        <v>36</v>
      </c>
      <c r="E275" t="s">
        <v>53</v>
      </c>
      <c r="F275" t="s">
        <v>473</v>
      </c>
      <c r="G275" t="s">
        <v>963</v>
      </c>
      <c r="H275" t="s">
        <v>964</v>
      </c>
      <c r="I275" s="4">
        <v>3.19</v>
      </c>
      <c r="J275" t="s">
        <v>50</v>
      </c>
      <c r="K275" t="s">
        <v>22</v>
      </c>
      <c r="L275" t="s">
        <v>23</v>
      </c>
      <c r="M275" t="s">
        <v>24</v>
      </c>
    </row>
    <row r="276" spans="1:13" x14ac:dyDescent="0.3">
      <c r="A276" s="3" t="s">
        <v>965</v>
      </c>
      <c r="B276" s="3" t="s">
        <v>113</v>
      </c>
      <c r="C276" s="3" t="s">
        <v>35</v>
      </c>
      <c r="D276" t="s">
        <v>167</v>
      </c>
      <c r="E276" t="s">
        <v>168</v>
      </c>
      <c r="F276" t="s">
        <v>319</v>
      </c>
      <c r="G276" t="s">
        <v>966</v>
      </c>
      <c r="H276" t="s">
        <v>967</v>
      </c>
      <c r="I276" s="4">
        <v>4.8899999999999997</v>
      </c>
      <c r="J276" t="s">
        <v>21</v>
      </c>
      <c r="K276" t="s">
        <v>101</v>
      </c>
      <c r="L276" t="s">
        <v>23</v>
      </c>
      <c r="M276" t="s">
        <v>24</v>
      </c>
    </row>
    <row r="277" spans="1:13" x14ac:dyDescent="0.3">
      <c r="A277" s="3" t="s">
        <v>968</v>
      </c>
      <c r="B277" s="3" t="s">
        <v>63</v>
      </c>
      <c r="C277" s="3" t="s">
        <v>35</v>
      </c>
      <c r="D277" t="s">
        <v>45</v>
      </c>
      <c r="E277" t="s">
        <v>138</v>
      </c>
      <c r="F277" t="s">
        <v>139</v>
      </c>
      <c r="G277" t="s">
        <v>969</v>
      </c>
      <c r="H277" t="s">
        <v>970</v>
      </c>
      <c r="I277" s="4">
        <v>4.9000000000000004</v>
      </c>
      <c r="J277" t="s">
        <v>21</v>
      </c>
      <c r="K277" t="s">
        <v>101</v>
      </c>
      <c r="L277" t="s">
        <v>23</v>
      </c>
      <c r="M277" t="s">
        <v>32</v>
      </c>
    </row>
    <row r="278" spans="1:13" x14ac:dyDescent="0.3">
      <c r="A278" s="3" t="s">
        <v>971</v>
      </c>
      <c r="B278" s="3" t="s">
        <v>52</v>
      </c>
      <c r="C278" s="3" t="s">
        <v>35</v>
      </c>
      <c r="D278" t="s">
        <v>114</v>
      </c>
      <c r="E278" t="s">
        <v>279</v>
      </c>
      <c r="F278" t="s">
        <v>280</v>
      </c>
      <c r="G278" t="s">
        <v>972</v>
      </c>
      <c r="H278" t="s">
        <v>973</v>
      </c>
      <c r="I278" s="4">
        <v>2.78</v>
      </c>
      <c r="J278" t="s">
        <v>73</v>
      </c>
      <c r="K278" t="s">
        <v>101</v>
      </c>
      <c r="L278" t="s">
        <v>23</v>
      </c>
      <c r="M278" t="s">
        <v>43</v>
      </c>
    </row>
    <row r="279" spans="1:13" x14ac:dyDescent="0.3">
      <c r="A279" s="3" t="s">
        <v>974</v>
      </c>
      <c r="B279" s="3" t="s">
        <v>80</v>
      </c>
      <c r="C279" s="3" t="s">
        <v>16</v>
      </c>
      <c r="D279" t="s">
        <v>75</v>
      </c>
      <c r="E279" t="s">
        <v>251</v>
      </c>
      <c r="F279" t="s">
        <v>975</v>
      </c>
      <c r="G279" t="s">
        <v>976</v>
      </c>
      <c r="H279" t="s">
        <v>977</v>
      </c>
      <c r="I279" s="4">
        <v>3.98</v>
      </c>
      <c r="J279" t="s">
        <v>73</v>
      </c>
      <c r="K279" t="s">
        <v>42</v>
      </c>
      <c r="L279" t="s">
        <v>23</v>
      </c>
      <c r="M279" t="s">
        <v>43</v>
      </c>
    </row>
    <row r="280" spans="1:13" x14ac:dyDescent="0.3">
      <c r="A280" s="3" t="s">
        <v>978</v>
      </c>
      <c r="B280" s="3" t="s">
        <v>26</v>
      </c>
      <c r="C280" s="3" t="s">
        <v>16</v>
      </c>
      <c r="D280" t="s">
        <v>188</v>
      </c>
      <c r="E280" t="s">
        <v>188</v>
      </c>
      <c r="F280" t="s">
        <v>188</v>
      </c>
      <c r="G280" t="s">
        <v>979</v>
      </c>
      <c r="H280" t="s">
        <v>291</v>
      </c>
      <c r="I280" s="4">
        <v>4.97</v>
      </c>
      <c r="J280" t="s">
        <v>73</v>
      </c>
      <c r="K280" t="s">
        <v>101</v>
      </c>
      <c r="L280" t="s">
        <v>23</v>
      </c>
      <c r="M280" t="s">
        <v>43</v>
      </c>
    </row>
    <row r="281" spans="1:13" x14ac:dyDescent="0.3">
      <c r="A281" s="3" t="s">
        <v>980</v>
      </c>
      <c r="B281" s="3" t="s">
        <v>124</v>
      </c>
      <c r="C281" s="3" t="s">
        <v>16</v>
      </c>
      <c r="D281" t="s">
        <v>104</v>
      </c>
      <c r="E281" t="s">
        <v>104</v>
      </c>
      <c r="F281" t="s">
        <v>981</v>
      </c>
      <c r="G281" t="s">
        <v>982</v>
      </c>
      <c r="H281" t="s">
        <v>983</v>
      </c>
      <c r="I281" s="4">
        <v>0.93</v>
      </c>
      <c r="J281" t="s">
        <v>41</v>
      </c>
      <c r="K281" t="s">
        <v>57</v>
      </c>
      <c r="L281" t="s">
        <v>23</v>
      </c>
      <c r="M281" t="s">
        <v>43</v>
      </c>
    </row>
    <row r="282" spans="1:13" x14ac:dyDescent="0.3">
      <c r="A282" s="3" t="s">
        <v>984</v>
      </c>
      <c r="B282" s="3" t="s">
        <v>287</v>
      </c>
      <c r="C282" s="3" t="s">
        <v>35</v>
      </c>
      <c r="D282" t="s">
        <v>36</v>
      </c>
      <c r="E282" t="s">
        <v>53</v>
      </c>
      <c r="F282" t="s">
        <v>985</v>
      </c>
      <c r="G282" t="s">
        <v>986</v>
      </c>
      <c r="H282" t="s">
        <v>987</v>
      </c>
      <c r="I282" s="4">
        <v>4.25</v>
      </c>
      <c r="J282" t="s">
        <v>73</v>
      </c>
      <c r="K282" t="s">
        <v>42</v>
      </c>
      <c r="L282" t="s">
        <v>23</v>
      </c>
      <c r="M282" t="s">
        <v>32</v>
      </c>
    </row>
    <row r="283" spans="1:13" x14ac:dyDescent="0.3">
      <c r="A283" s="3" t="s">
        <v>988</v>
      </c>
      <c r="B283" s="3" t="s">
        <v>52</v>
      </c>
      <c r="C283" s="3" t="s">
        <v>35</v>
      </c>
      <c r="D283" t="s">
        <v>45</v>
      </c>
      <c r="E283" t="s">
        <v>45</v>
      </c>
      <c r="F283" t="s">
        <v>989</v>
      </c>
      <c r="G283" t="s">
        <v>990</v>
      </c>
      <c r="H283" t="s">
        <v>991</v>
      </c>
      <c r="I283" s="4">
        <v>2.89</v>
      </c>
      <c r="J283" t="s">
        <v>21</v>
      </c>
      <c r="K283" t="s">
        <v>22</v>
      </c>
      <c r="L283" t="s">
        <v>23</v>
      </c>
      <c r="M283" t="s">
        <v>24</v>
      </c>
    </row>
    <row r="284" spans="1:13" x14ac:dyDescent="0.3">
      <c r="A284" s="3" t="s">
        <v>992</v>
      </c>
      <c r="B284" s="3" t="s">
        <v>80</v>
      </c>
      <c r="C284" s="3" t="s">
        <v>16</v>
      </c>
      <c r="D284" t="s">
        <v>27</v>
      </c>
      <c r="E284" t="s">
        <v>93</v>
      </c>
      <c r="F284" t="s">
        <v>94</v>
      </c>
      <c r="G284" t="s">
        <v>993</v>
      </c>
      <c r="H284" t="s">
        <v>994</v>
      </c>
      <c r="I284" s="4">
        <v>4.71</v>
      </c>
      <c r="J284" t="s">
        <v>41</v>
      </c>
      <c r="K284" t="s">
        <v>42</v>
      </c>
      <c r="L284" t="s">
        <v>23</v>
      </c>
      <c r="M284" t="s">
        <v>85</v>
      </c>
    </row>
    <row r="285" spans="1:13" x14ac:dyDescent="0.3">
      <c r="A285" s="3" t="s">
        <v>995</v>
      </c>
      <c r="B285" s="3" t="s">
        <v>113</v>
      </c>
      <c r="C285" s="3" t="s">
        <v>35</v>
      </c>
      <c r="D285" t="s">
        <v>88</v>
      </c>
      <c r="E285" t="s">
        <v>180</v>
      </c>
      <c r="F285" t="s">
        <v>469</v>
      </c>
      <c r="G285" t="s">
        <v>996</v>
      </c>
      <c r="H285" t="s">
        <v>997</v>
      </c>
      <c r="I285" s="4">
        <v>2.04</v>
      </c>
      <c r="J285" t="s">
        <v>73</v>
      </c>
      <c r="K285" t="s">
        <v>57</v>
      </c>
      <c r="L285" t="s">
        <v>23</v>
      </c>
      <c r="M285" t="s">
        <v>43</v>
      </c>
    </row>
    <row r="286" spans="1:13" x14ac:dyDescent="0.3">
      <c r="A286" s="3" t="s">
        <v>998</v>
      </c>
      <c r="B286" s="3" t="s">
        <v>34</v>
      </c>
      <c r="C286" s="3" t="s">
        <v>35</v>
      </c>
      <c r="D286" t="s">
        <v>36</v>
      </c>
      <c r="E286" t="s">
        <v>175</v>
      </c>
      <c r="F286" t="s">
        <v>999</v>
      </c>
      <c r="G286" t="s">
        <v>1000</v>
      </c>
      <c r="H286" t="s">
        <v>1001</v>
      </c>
      <c r="I286" s="4">
        <v>3.55</v>
      </c>
      <c r="J286" t="s">
        <v>41</v>
      </c>
      <c r="K286" t="s">
        <v>57</v>
      </c>
      <c r="L286" t="s">
        <v>119</v>
      </c>
      <c r="M286" t="s">
        <v>43</v>
      </c>
    </row>
    <row r="287" spans="1:13" x14ac:dyDescent="0.3">
      <c r="A287" s="3" t="s">
        <v>1002</v>
      </c>
      <c r="B287" s="3" t="s">
        <v>63</v>
      </c>
      <c r="C287" s="3" t="s">
        <v>35</v>
      </c>
      <c r="D287" t="s">
        <v>45</v>
      </c>
      <c r="E287" t="s">
        <v>138</v>
      </c>
      <c r="F287" t="s">
        <v>355</v>
      </c>
      <c r="G287" t="s">
        <v>1003</v>
      </c>
      <c r="H287" t="s">
        <v>1004</v>
      </c>
      <c r="I287" s="4">
        <v>0.8</v>
      </c>
      <c r="J287" t="s">
        <v>73</v>
      </c>
      <c r="K287" t="s">
        <v>42</v>
      </c>
      <c r="L287" t="s">
        <v>23</v>
      </c>
      <c r="M287" t="s">
        <v>43</v>
      </c>
    </row>
    <row r="288" spans="1:13" x14ac:dyDescent="0.3">
      <c r="A288" s="3" t="s">
        <v>1005</v>
      </c>
      <c r="B288" s="3" t="s">
        <v>103</v>
      </c>
      <c r="C288" s="3" t="s">
        <v>16</v>
      </c>
      <c r="D288" t="s">
        <v>104</v>
      </c>
      <c r="E288" t="s">
        <v>104</v>
      </c>
      <c r="F288" t="s">
        <v>274</v>
      </c>
      <c r="G288" t="s">
        <v>1006</v>
      </c>
      <c r="H288" t="s">
        <v>1007</v>
      </c>
      <c r="I288" s="4">
        <v>3.26</v>
      </c>
      <c r="J288" t="s">
        <v>21</v>
      </c>
      <c r="K288" t="s">
        <v>22</v>
      </c>
      <c r="L288" t="s">
        <v>23</v>
      </c>
      <c r="M288" t="s">
        <v>24</v>
      </c>
    </row>
    <row r="289" spans="1:13" x14ac:dyDescent="0.3">
      <c r="A289" s="3" t="s">
        <v>1008</v>
      </c>
      <c r="B289" s="3" t="s">
        <v>63</v>
      </c>
      <c r="C289" s="3" t="s">
        <v>35</v>
      </c>
      <c r="D289" t="s">
        <v>167</v>
      </c>
      <c r="E289" t="s">
        <v>168</v>
      </c>
      <c r="F289" t="s">
        <v>463</v>
      </c>
      <c r="G289" t="s">
        <v>1009</v>
      </c>
      <c r="H289" t="s">
        <v>511</v>
      </c>
      <c r="I289" s="4">
        <v>4.07</v>
      </c>
      <c r="J289" t="s">
        <v>21</v>
      </c>
      <c r="K289" t="s">
        <v>22</v>
      </c>
      <c r="L289" t="s">
        <v>23</v>
      </c>
      <c r="M289" t="s">
        <v>32</v>
      </c>
    </row>
    <row r="290" spans="1:13" x14ac:dyDescent="0.3">
      <c r="A290" s="3" t="s">
        <v>1010</v>
      </c>
      <c r="B290" s="3" t="s">
        <v>52</v>
      </c>
      <c r="C290" s="3" t="s">
        <v>35</v>
      </c>
      <c r="D290" t="s">
        <v>114</v>
      </c>
      <c r="E290" t="s">
        <v>150</v>
      </c>
      <c r="F290" t="s">
        <v>1011</v>
      </c>
      <c r="G290" t="s">
        <v>1012</v>
      </c>
      <c r="H290" t="s">
        <v>1013</v>
      </c>
      <c r="I290" s="4">
        <v>0.5</v>
      </c>
      <c r="J290" t="s">
        <v>41</v>
      </c>
      <c r="K290" t="s">
        <v>42</v>
      </c>
      <c r="L290" t="s">
        <v>23</v>
      </c>
      <c r="M290" t="s">
        <v>85</v>
      </c>
    </row>
    <row r="291" spans="1:13" x14ac:dyDescent="0.3">
      <c r="A291" s="3" t="s">
        <v>1014</v>
      </c>
      <c r="B291" s="3" t="s">
        <v>15</v>
      </c>
      <c r="C291" s="3" t="s">
        <v>16</v>
      </c>
      <c r="D291" t="s">
        <v>188</v>
      </c>
      <c r="E291" t="s">
        <v>263</v>
      </c>
      <c r="F291" t="s">
        <v>263</v>
      </c>
      <c r="G291" t="s">
        <v>1015</v>
      </c>
      <c r="H291" t="s">
        <v>1016</v>
      </c>
      <c r="I291" s="4">
        <v>2.96</v>
      </c>
      <c r="J291" t="s">
        <v>73</v>
      </c>
      <c r="K291" t="s">
        <v>57</v>
      </c>
      <c r="L291" t="s">
        <v>23</v>
      </c>
      <c r="M291" t="s">
        <v>43</v>
      </c>
    </row>
    <row r="292" spans="1:13" x14ac:dyDescent="0.3">
      <c r="A292" s="3" t="s">
        <v>1017</v>
      </c>
      <c r="B292" s="3" t="s">
        <v>158</v>
      </c>
      <c r="C292" s="3" t="s">
        <v>16</v>
      </c>
      <c r="D292" t="s">
        <v>17</v>
      </c>
      <c r="E292" t="s">
        <v>17</v>
      </c>
      <c r="F292" t="s">
        <v>339</v>
      </c>
      <c r="G292" t="s">
        <v>1018</v>
      </c>
      <c r="H292" t="s">
        <v>1019</v>
      </c>
      <c r="I292" s="4">
        <v>1.35</v>
      </c>
      <c r="J292" t="s">
        <v>50</v>
      </c>
      <c r="K292" t="s">
        <v>22</v>
      </c>
      <c r="L292" t="s">
        <v>23</v>
      </c>
      <c r="M292" t="s">
        <v>24</v>
      </c>
    </row>
    <row r="293" spans="1:13" x14ac:dyDescent="0.3">
      <c r="A293" s="3" t="s">
        <v>1020</v>
      </c>
      <c r="B293" s="3" t="s">
        <v>67</v>
      </c>
      <c r="C293" s="3" t="s">
        <v>16</v>
      </c>
      <c r="D293" t="s">
        <v>17</v>
      </c>
      <c r="E293" t="s">
        <v>81</v>
      </c>
      <c r="F293" t="s">
        <v>81</v>
      </c>
      <c r="G293" t="s">
        <v>1021</v>
      </c>
      <c r="H293" t="s">
        <v>1022</v>
      </c>
      <c r="I293" s="4">
        <v>3.85</v>
      </c>
      <c r="J293" t="s">
        <v>41</v>
      </c>
      <c r="K293" t="s">
        <v>57</v>
      </c>
      <c r="L293" t="s">
        <v>23</v>
      </c>
      <c r="M293" t="s">
        <v>85</v>
      </c>
    </row>
    <row r="294" spans="1:13" x14ac:dyDescent="0.3">
      <c r="A294" s="3" t="s">
        <v>1023</v>
      </c>
      <c r="B294" s="3" t="s">
        <v>131</v>
      </c>
      <c r="C294" s="3" t="s">
        <v>35</v>
      </c>
      <c r="D294" t="s">
        <v>114</v>
      </c>
      <c r="E294" t="s">
        <v>150</v>
      </c>
      <c r="F294" t="s">
        <v>898</v>
      </c>
      <c r="G294" t="s">
        <v>1024</v>
      </c>
      <c r="H294" t="s">
        <v>141</v>
      </c>
      <c r="I294" s="4">
        <v>3.41</v>
      </c>
      <c r="J294" t="s">
        <v>41</v>
      </c>
      <c r="K294" t="s">
        <v>57</v>
      </c>
      <c r="L294" t="s">
        <v>23</v>
      </c>
      <c r="M294" t="s">
        <v>43</v>
      </c>
    </row>
    <row r="295" spans="1:13" x14ac:dyDescent="0.3">
      <c r="A295" s="3" t="s">
        <v>1025</v>
      </c>
      <c r="B295" s="3" t="s">
        <v>34</v>
      </c>
      <c r="C295" s="3" t="s">
        <v>35</v>
      </c>
      <c r="D295" t="s">
        <v>45</v>
      </c>
      <c r="E295" t="s">
        <v>138</v>
      </c>
      <c r="F295" t="s">
        <v>553</v>
      </c>
      <c r="G295" t="s">
        <v>1026</v>
      </c>
      <c r="H295" t="s">
        <v>1027</v>
      </c>
      <c r="I295" s="4">
        <v>4.7699999999999996</v>
      </c>
      <c r="J295" t="s">
        <v>41</v>
      </c>
      <c r="K295" t="s">
        <v>42</v>
      </c>
      <c r="L295" t="s">
        <v>23</v>
      </c>
      <c r="M295" t="s">
        <v>43</v>
      </c>
    </row>
    <row r="296" spans="1:13" x14ac:dyDescent="0.3">
      <c r="A296" s="3" t="s">
        <v>1028</v>
      </c>
      <c r="B296" s="3" t="s">
        <v>103</v>
      </c>
      <c r="C296" s="3" t="s">
        <v>16</v>
      </c>
      <c r="D296" t="s">
        <v>17</v>
      </c>
      <c r="E296" t="s">
        <v>17</v>
      </c>
      <c r="F296" t="s">
        <v>17</v>
      </c>
      <c r="G296" t="s">
        <v>1029</v>
      </c>
      <c r="H296" t="s">
        <v>192</v>
      </c>
      <c r="I296" s="4">
        <v>1.52</v>
      </c>
      <c r="J296" t="s">
        <v>50</v>
      </c>
      <c r="K296" t="s">
        <v>22</v>
      </c>
      <c r="L296" t="s">
        <v>23</v>
      </c>
      <c r="M296" t="s">
        <v>24</v>
      </c>
    </row>
    <row r="297" spans="1:13" x14ac:dyDescent="0.3">
      <c r="A297" s="3" t="s">
        <v>1030</v>
      </c>
      <c r="B297" s="3" t="s">
        <v>63</v>
      </c>
      <c r="C297" s="3" t="s">
        <v>35</v>
      </c>
      <c r="D297" t="s">
        <v>167</v>
      </c>
      <c r="E297" t="s">
        <v>350</v>
      </c>
      <c r="F297" t="s">
        <v>350</v>
      </c>
      <c r="G297" t="s">
        <v>1031</v>
      </c>
      <c r="H297" t="s">
        <v>1032</v>
      </c>
      <c r="I297" s="4">
        <v>1.44</v>
      </c>
      <c r="J297" t="s">
        <v>73</v>
      </c>
      <c r="K297" t="s">
        <v>42</v>
      </c>
      <c r="L297" t="s">
        <v>23</v>
      </c>
      <c r="M297" t="s">
        <v>32</v>
      </c>
    </row>
    <row r="298" spans="1:13" x14ac:dyDescent="0.3">
      <c r="A298" s="3" t="s">
        <v>1033</v>
      </c>
      <c r="B298" s="3" t="s">
        <v>131</v>
      </c>
      <c r="C298" s="3" t="s">
        <v>35</v>
      </c>
      <c r="D298" t="s">
        <v>36</v>
      </c>
      <c r="E298" t="s">
        <v>53</v>
      </c>
      <c r="F298" t="s">
        <v>54</v>
      </c>
      <c r="G298" t="s">
        <v>1034</v>
      </c>
      <c r="H298" t="s">
        <v>1035</v>
      </c>
      <c r="I298" s="4">
        <v>3.18</v>
      </c>
      <c r="J298" t="s">
        <v>73</v>
      </c>
      <c r="K298" t="s">
        <v>42</v>
      </c>
      <c r="L298" t="s">
        <v>23</v>
      </c>
      <c r="M298" t="s">
        <v>32</v>
      </c>
    </row>
    <row r="299" spans="1:13" x14ac:dyDescent="0.3">
      <c r="A299" s="3" t="s">
        <v>1036</v>
      </c>
      <c r="B299" s="3" t="s">
        <v>63</v>
      </c>
      <c r="C299" s="3" t="s">
        <v>35</v>
      </c>
      <c r="D299" t="s">
        <v>88</v>
      </c>
      <c r="E299" t="s">
        <v>89</v>
      </c>
      <c r="F299" t="s">
        <v>180</v>
      </c>
      <c r="G299" t="s">
        <v>1037</v>
      </c>
      <c r="H299" t="s">
        <v>1038</v>
      </c>
      <c r="I299" s="4">
        <v>2.25</v>
      </c>
      <c r="J299" t="s">
        <v>50</v>
      </c>
      <c r="K299" t="s">
        <v>22</v>
      </c>
      <c r="L299" t="s">
        <v>23</v>
      </c>
      <c r="M299" t="s">
        <v>24</v>
      </c>
    </row>
    <row r="300" spans="1:13" x14ac:dyDescent="0.3">
      <c r="A300" s="3" t="s">
        <v>1039</v>
      </c>
      <c r="B300" s="3" t="s">
        <v>52</v>
      </c>
      <c r="C300" s="3" t="s">
        <v>35</v>
      </c>
      <c r="D300" t="s">
        <v>45</v>
      </c>
      <c r="E300" t="s">
        <v>46</v>
      </c>
      <c r="F300" t="s">
        <v>46</v>
      </c>
      <c r="G300" t="s">
        <v>1040</v>
      </c>
      <c r="H300" t="s">
        <v>1041</v>
      </c>
      <c r="I300" s="4">
        <v>3.33</v>
      </c>
      <c r="J300" t="s">
        <v>50</v>
      </c>
      <c r="K300" t="s">
        <v>22</v>
      </c>
      <c r="L300" t="s">
        <v>23</v>
      </c>
      <c r="M300" t="s">
        <v>24</v>
      </c>
    </row>
    <row r="301" spans="1:13" x14ac:dyDescent="0.3">
      <c r="A301" s="3" t="s">
        <v>1042</v>
      </c>
      <c r="B301" s="3" t="s">
        <v>287</v>
      </c>
      <c r="C301" s="3" t="s">
        <v>35</v>
      </c>
      <c r="D301" t="s">
        <v>36</v>
      </c>
      <c r="E301" t="s">
        <v>175</v>
      </c>
      <c r="F301" t="s">
        <v>999</v>
      </c>
      <c r="G301" t="s">
        <v>1043</v>
      </c>
      <c r="H301" t="s">
        <v>357</v>
      </c>
      <c r="I301" s="4">
        <v>3.23</v>
      </c>
      <c r="J301" t="s">
        <v>21</v>
      </c>
      <c r="K301" t="s">
        <v>101</v>
      </c>
      <c r="L301" t="s">
        <v>23</v>
      </c>
      <c r="M301" t="s">
        <v>32</v>
      </c>
    </row>
    <row r="302" spans="1:13" x14ac:dyDescent="0.3">
      <c r="A302" s="3" t="s">
        <v>1044</v>
      </c>
      <c r="B302" s="3" t="s">
        <v>63</v>
      </c>
      <c r="C302" s="3" t="s">
        <v>35</v>
      </c>
      <c r="D302" t="s">
        <v>167</v>
      </c>
      <c r="E302" t="s">
        <v>350</v>
      </c>
      <c r="F302" t="s">
        <v>351</v>
      </c>
      <c r="G302" t="s">
        <v>1045</v>
      </c>
      <c r="H302" t="s">
        <v>1046</v>
      </c>
      <c r="I302" s="4">
        <v>0.69</v>
      </c>
      <c r="J302" t="s">
        <v>50</v>
      </c>
      <c r="K302" t="s">
        <v>22</v>
      </c>
      <c r="L302" t="s">
        <v>23</v>
      </c>
      <c r="M302" t="s">
        <v>24</v>
      </c>
    </row>
    <row r="303" spans="1:13" x14ac:dyDescent="0.3">
      <c r="A303" s="3" t="s">
        <v>1047</v>
      </c>
      <c r="B303" s="3" t="s">
        <v>63</v>
      </c>
      <c r="C303" s="3" t="s">
        <v>35</v>
      </c>
      <c r="D303" t="s">
        <v>36</v>
      </c>
      <c r="E303" t="s">
        <v>37</v>
      </c>
      <c r="F303" t="s">
        <v>195</v>
      </c>
      <c r="G303" t="s">
        <v>1048</v>
      </c>
      <c r="H303" t="s">
        <v>1049</v>
      </c>
      <c r="I303" s="4">
        <v>3.57</v>
      </c>
      <c r="J303" t="s">
        <v>50</v>
      </c>
      <c r="K303" t="s">
        <v>22</v>
      </c>
      <c r="L303" t="s">
        <v>23</v>
      </c>
      <c r="M303" t="s">
        <v>24</v>
      </c>
    </row>
    <row r="304" spans="1:13" x14ac:dyDescent="0.3">
      <c r="A304" s="3" t="s">
        <v>1050</v>
      </c>
      <c r="B304" s="3" t="s">
        <v>52</v>
      </c>
      <c r="C304" s="3" t="s">
        <v>35</v>
      </c>
      <c r="D304" t="s">
        <v>114</v>
      </c>
      <c r="E304" t="s">
        <v>115</v>
      </c>
      <c r="F304" t="s">
        <v>617</v>
      </c>
      <c r="G304" t="s">
        <v>1051</v>
      </c>
      <c r="H304" t="s">
        <v>1052</v>
      </c>
      <c r="I304" s="4">
        <v>1.67</v>
      </c>
      <c r="J304" t="s">
        <v>73</v>
      </c>
      <c r="K304" t="s">
        <v>101</v>
      </c>
      <c r="L304" t="s">
        <v>23</v>
      </c>
      <c r="M304" t="s">
        <v>43</v>
      </c>
    </row>
    <row r="305" spans="1:14" x14ac:dyDescent="0.3">
      <c r="A305" s="3" t="s">
        <v>1053</v>
      </c>
      <c r="B305" s="3" t="s">
        <v>34</v>
      </c>
      <c r="C305" s="3" t="s">
        <v>35</v>
      </c>
      <c r="D305" t="s">
        <v>45</v>
      </c>
      <c r="E305" t="s">
        <v>46</v>
      </c>
      <c r="F305" t="s">
        <v>1054</v>
      </c>
      <c r="G305" t="s">
        <v>1055</v>
      </c>
      <c r="H305" t="s">
        <v>507</v>
      </c>
      <c r="I305" s="4">
        <v>2.69</v>
      </c>
      <c r="J305" t="s">
        <v>50</v>
      </c>
      <c r="K305" t="s">
        <v>22</v>
      </c>
      <c r="L305" t="s">
        <v>23</v>
      </c>
      <c r="M305" t="s">
        <v>24</v>
      </c>
    </row>
    <row r="306" spans="1:14" x14ac:dyDescent="0.3">
      <c r="A306" s="3" t="s">
        <v>1056</v>
      </c>
      <c r="B306" s="3" t="s">
        <v>34</v>
      </c>
      <c r="C306" s="3" t="s">
        <v>35</v>
      </c>
      <c r="D306" t="s">
        <v>114</v>
      </c>
      <c r="E306" t="s">
        <v>279</v>
      </c>
      <c r="F306" t="s">
        <v>195</v>
      </c>
      <c r="G306" t="s">
        <v>1057</v>
      </c>
      <c r="H306" t="s">
        <v>1058</v>
      </c>
      <c r="I306" s="4">
        <v>1.36</v>
      </c>
      <c r="J306" t="s">
        <v>41</v>
      </c>
      <c r="K306" t="s">
        <v>42</v>
      </c>
      <c r="L306" t="s">
        <v>119</v>
      </c>
      <c r="M306" t="s">
        <v>43</v>
      </c>
    </row>
    <row r="307" spans="1:14" x14ac:dyDescent="0.3">
      <c r="A307" s="3" t="s">
        <v>1059</v>
      </c>
      <c r="B307" s="3" t="s">
        <v>34</v>
      </c>
      <c r="C307" s="3" t="s">
        <v>35</v>
      </c>
      <c r="D307" t="s">
        <v>88</v>
      </c>
      <c r="E307" t="s">
        <v>89</v>
      </c>
      <c r="F307" t="s">
        <v>332</v>
      </c>
      <c r="G307" t="s">
        <v>1060</v>
      </c>
      <c r="H307" t="s">
        <v>1061</v>
      </c>
      <c r="I307" s="4">
        <v>0.7</v>
      </c>
      <c r="J307" t="s">
        <v>73</v>
      </c>
      <c r="K307" t="s">
        <v>42</v>
      </c>
      <c r="L307" t="s">
        <v>23</v>
      </c>
      <c r="M307" t="s">
        <v>32</v>
      </c>
    </row>
    <row r="308" spans="1:14" x14ac:dyDescent="0.3">
      <c r="A308" s="3" t="s">
        <v>1062</v>
      </c>
      <c r="B308" s="3" t="s">
        <v>87</v>
      </c>
      <c r="C308" s="3" t="s">
        <v>35</v>
      </c>
      <c r="D308" t="s">
        <v>88</v>
      </c>
      <c r="E308" t="s">
        <v>180</v>
      </c>
      <c r="F308" t="s">
        <v>948</v>
      </c>
      <c r="G308" t="s">
        <v>1063</v>
      </c>
      <c r="H308" t="s">
        <v>1064</v>
      </c>
      <c r="I308" s="4">
        <v>4.4800000000000004</v>
      </c>
      <c r="J308" t="s">
        <v>50</v>
      </c>
      <c r="K308" t="s">
        <v>22</v>
      </c>
      <c r="L308" t="s">
        <v>23</v>
      </c>
      <c r="M308" t="s">
        <v>24</v>
      </c>
    </row>
    <row r="309" spans="1:14" x14ac:dyDescent="0.3">
      <c r="A309" s="3" t="s">
        <v>1065</v>
      </c>
      <c r="B309" s="3" t="s">
        <v>287</v>
      </c>
      <c r="C309" s="3" t="s">
        <v>35</v>
      </c>
      <c r="D309" t="s">
        <v>88</v>
      </c>
      <c r="E309" t="s">
        <v>88</v>
      </c>
      <c r="F309" t="s">
        <v>1066</v>
      </c>
      <c r="G309" t="s">
        <v>1067</v>
      </c>
      <c r="H309" t="s">
        <v>1068</v>
      </c>
      <c r="I309" s="4">
        <v>2.97</v>
      </c>
      <c r="J309" t="s">
        <v>73</v>
      </c>
      <c r="K309" t="s">
        <v>42</v>
      </c>
      <c r="L309" t="s">
        <v>23</v>
      </c>
      <c r="M309" t="s">
        <v>32</v>
      </c>
    </row>
    <row r="310" spans="1:14" x14ac:dyDescent="0.3">
      <c r="A310" s="3" t="s">
        <v>1069</v>
      </c>
      <c r="B310" s="3" t="s">
        <v>194</v>
      </c>
      <c r="C310" s="3" t="s">
        <v>35</v>
      </c>
      <c r="D310" t="s">
        <v>114</v>
      </c>
      <c r="E310" t="s">
        <v>279</v>
      </c>
      <c r="F310" t="s">
        <v>729</v>
      </c>
      <c r="G310" t="s">
        <v>1070</v>
      </c>
      <c r="H310" t="s">
        <v>1071</v>
      </c>
      <c r="I310" s="4">
        <v>2.38</v>
      </c>
      <c r="J310" t="s">
        <v>50</v>
      </c>
      <c r="K310" t="s">
        <v>22</v>
      </c>
      <c r="L310" t="s">
        <v>23</v>
      </c>
      <c r="M310" t="s">
        <v>24</v>
      </c>
    </row>
    <row r="311" spans="1:14" x14ac:dyDescent="0.3">
      <c r="A311" s="3" t="s">
        <v>1072</v>
      </c>
      <c r="B311" s="3" t="s">
        <v>131</v>
      </c>
      <c r="C311" s="3" t="s">
        <v>35</v>
      </c>
      <c r="D311" t="s">
        <v>36</v>
      </c>
      <c r="E311" t="s">
        <v>175</v>
      </c>
      <c r="F311" t="s">
        <v>366</v>
      </c>
      <c r="G311" t="s">
        <v>1073</v>
      </c>
      <c r="H311" t="s">
        <v>1074</v>
      </c>
      <c r="I311" s="4">
        <v>2.13</v>
      </c>
      <c r="J311" t="s">
        <v>50</v>
      </c>
      <c r="K311" t="s">
        <v>22</v>
      </c>
      <c r="L311" t="s">
        <v>23</v>
      </c>
      <c r="M311" t="s">
        <v>24</v>
      </c>
    </row>
    <row r="312" spans="1:14" x14ac:dyDescent="0.3">
      <c r="A312" s="3" t="s">
        <v>1075</v>
      </c>
      <c r="B312" s="3" t="s">
        <v>26</v>
      </c>
      <c r="C312" s="3" t="s">
        <v>16</v>
      </c>
      <c r="D312" t="s">
        <v>188</v>
      </c>
      <c r="E312" t="s">
        <v>188</v>
      </c>
      <c r="F312" t="s">
        <v>1076</v>
      </c>
      <c r="G312" t="s">
        <v>1077</v>
      </c>
      <c r="H312" t="s">
        <v>1078</v>
      </c>
      <c r="I312" s="4">
        <v>1.31</v>
      </c>
      <c r="J312" t="s">
        <v>21</v>
      </c>
      <c r="K312" t="s">
        <v>22</v>
      </c>
      <c r="L312" t="s">
        <v>23</v>
      </c>
      <c r="M312" t="s">
        <v>24</v>
      </c>
    </row>
    <row r="313" spans="1:14" x14ac:dyDescent="0.3">
      <c r="A313" s="3" t="s">
        <v>1079</v>
      </c>
      <c r="B313" s="3" t="s">
        <v>52</v>
      </c>
      <c r="C313" s="3" t="s">
        <v>35</v>
      </c>
      <c r="D313" t="s">
        <v>88</v>
      </c>
      <c r="E313" t="s">
        <v>89</v>
      </c>
      <c r="F313" t="s">
        <v>89</v>
      </c>
      <c r="G313" t="s">
        <v>1080</v>
      </c>
      <c r="H313" t="s">
        <v>1081</v>
      </c>
      <c r="I313" s="4">
        <v>3.68</v>
      </c>
      <c r="J313" t="s">
        <v>41</v>
      </c>
      <c r="K313" t="s">
        <v>42</v>
      </c>
      <c r="L313" t="s">
        <v>119</v>
      </c>
      <c r="M313" t="s">
        <v>85</v>
      </c>
      <c r="N313" s="1">
        <v>45514</v>
      </c>
    </row>
    <row r="314" spans="1:14" x14ac:dyDescent="0.3">
      <c r="A314" s="3" t="s">
        <v>1082</v>
      </c>
      <c r="B314" s="3" t="s">
        <v>87</v>
      </c>
      <c r="C314" s="3" t="s">
        <v>35</v>
      </c>
      <c r="D314" t="s">
        <v>114</v>
      </c>
      <c r="E314" t="s">
        <v>150</v>
      </c>
      <c r="F314" t="s">
        <v>151</v>
      </c>
      <c r="G314" t="s">
        <v>1083</v>
      </c>
      <c r="H314" t="s">
        <v>1084</v>
      </c>
      <c r="I314" s="4">
        <v>0.91</v>
      </c>
      <c r="J314" t="s">
        <v>73</v>
      </c>
      <c r="K314" t="s">
        <v>101</v>
      </c>
      <c r="L314" t="s">
        <v>23</v>
      </c>
      <c r="M314" t="s">
        <v>32</v>
      </c>
    </row>
    <row r="315" spans="1:14" x14ac:dyDescent="0.3">
      <c r="A315" s="3" t="s">
        <v>1085</v>
      </c>
      <c r="B315" s="3" t="s">
        <v>59</v>
      </c>
      <c r="C315" s="3" t="s">
        <v>16</v>
      </c>
      <c r="D315" t="s">
        <v>188</v>
      </c>
      <c r="E315" t="s">
        <v>189</v>
      </c>
      <c r="F315" t="s">
        <v>189</v>
      </c>
      <c r="G315" t="s">
        <v>1086</v>
      </c>
      <c r="H315" t="s">
        <v>683</v>
      </c>
      <c r="I315" s="4">
        <v>2.97</v>
      </c>
      <c r="J315" t="s">
        <v>50</v>
      </c>
      <c r="K315" t="s">
        <v>22</v>
      </c>
      <c r="L315" t="s">
        <v>23</v>
      </c>
      <c r="M315" t="s">
        <v>24</v>
      </c>
    </row>
    <row r="316" spans="1:14" x14ac:dyDescent="0.3">
      <c r="A316" s="3" t="s">
        <v>1087</v>
      </c>
      <c r="B316" s="3" t="s">
        <v>87</v>
      </c>
      <c r="C316" s="3" t="s">
        <v>35</v>
      </c>
      <c r="D316" t="s">
        <v>88</v>
      </c>
      <c r="E316" t="s">
        <v>89</v>
      </c>
      <c r="F316" t="s">
        <v>89</v>
      </c>
      <c r="G316" t="s">
        <v>1088</v>
      </c>
      <c r="H316" t="s">
        <v>1089</v>
      </c>
      <c r="I316" s="4">
        <v>2.21</v>
      </c>
      <c r="J316" t="s">
        <v>21</v>
      </c>
      <c r="K316" t="s">
        <v>101</v>
      </c>
      <c r="L316" t="s">
        <v>23</v>
      </c>
      <c r="M316" t="s">
        <v>32</v>
      </c>
    </row>
    <row r="317" spans="1:14" x14ac:dyDescent="0.3">
      <c r="A317" s="3" t="s">
        <v>1090</v>
      </c>
      <c r="B317" s="3" t="s">
        <v>26</v>
      </c>
      <c r="C317" s="3" t="s">
        <v>16</v>
      </c>
      <c r="D317" t="s">
        <v>104</v>
      </c>
      <c r="E317" t="s">
        <v>274</v>
      </c>
      <c r="F317" t="s">
        <v>362</v>
      </c>
      <c r="G317" t="s">
        <v>1091</v>
      </c>
      <c r="H317" t="s">
        <v>861</v>
      </c>
      <c r="I317" s="4">
        <v>4.82</v>
      </c>
      <c r="J317" t="s">
        <v>21</v>
      </c>
      <c r="K317" t="s">
        <v>101</v>
      </c>
      <c r="L317" t="s">
        <v>23</v>
      </c>
      <c r="M317" t="s">
        <v>32</v>
      </c>
    </row>
    <row r="318" spans="1:14" x14ac:dyDescent="0.3">
      <c r="A318" s="3" t="s">
        <v>1092</v>
      </c>
      <c r="B318" s="3" t="s">
        <v>52</v>
      </c>
      <c r="C318" s="3" t="s">
        <v>35</v>
      </c>
      <c r="D318" t="s">
        <v>114</v>
      </c>
      <c r="E318" t="s">
        <v>115</v>
      </c>
      <c r="F318" t="s">
        <v>617</v>
      </c>
      <c r="G318" t="s">
        <v>1093</v>
      </c>
      <c r="H318" t="s">
        <v>1094</v>
      </c>
      <c r="I318" s="4">
        <v>4.93</v>
      </c>
      <c r="J318" t="s">
        <v>50</v>
      </c>
      <c r="K318" t="s">
        <v>22</v>
      </c>
      <c r="L318" t="s">
        <v>23</v>
      </c>
      <c r="M318" t="s">
        <v>24</v>
      </c>
    </row>
    <row r="319" spans="1:14" x14ac:dyDescent="0.3">
      <c r="A319" s="3" t="s">
        <v>1095</v>
      </c>
      <c r="B319" s="3" t="s">
        <v>34</v>
      </c>
      <c r="C319" s="3" t="s">
        <v>35</v>
      </c>
      <c r="D319" t="s">
        <v>114</v>
      </c>
      <c r="E319" t="s">
        <v>115</v>
      </c>
      <c r="F319" t="s">
        <v>229</v>
      </c>
      <c r="G319" t="s">
        <v>1096</v>
      </c>
      <c r="H319" t="s">
        <v>1097</v>
      </c>
      <c r="I319" s="4">
        <v>2.21</v>
      </c>
      <c r="J319" t="s">
        <v>41</v>
      </c>
      <c r="K319" t="s">
        <v>57</v>
      </c>
      <c r="L319" t="s">
        <v>23</v>
      </c>
      <c r="M319" t="s">
        <v>85</v>
      </c>
    </row>
    <row r="320" spans="1:14" x14ac:dyDescent="0.3">
      <c r="A320" s="3" t="s">
        <v>1098</v>
      </c>
      <c r="B320" s="3" t="s">
        <v>103</v>
      </c>
      <c r="C320" s="3" t="s">
        <v>16</v>
      </c>
      <c r="D320" t="s">
        <v>104</v>
      </c>
      <c r="E320" t="s">
        <v>104</v>
      </c>
      <c r="F320" t="s">
        <v>104</v>
      </c>
      <c r="G320" t="s">
        <v>1099</v>
      </c>
      <c r="H320" t="s">
        <v>1019</v>
      </c>
      <c r="I320" s="4">
        <v>1.5</v>
      </c>
      <c r="J320" t="s">
        <v>21</v>
      </c>
      <c r="K320" t="s">
        <v>22</v>
      </c>
      <c r="L320" t="s">
        <v>23</v>
      </c>
      <c r="M320" t="s">
        <v>24</v>
      </c>
    </row>
    <row r="321" spans="1:14" x14ac:dyDescent="0.3">
      <c r="A321" s="3" t="s">
        <v>1100</v>
      </c>
      <c r="B321" s="3" t="s">
        <v>67</v>
      </c>
      <c r="C321" s="3" t="s">
        <v>16</v>
      </c>
      <c r="D321" t="s">
        <v>17</v>
      </c>
      <c r="E321" t="s">
        <v>17</v>
      </c>
      <c r="F321" t="s">
        <v>81</v>
      </c>
      <c r="G321" t="s">
        <v>1101</v>
      </c>
      <c r="H321" t="s">
        <v>1102</v>
      </c>
      <c r="I321" s="4">
        <v>4.92</v>
      </c>
      <c r="J321" t="s">
        <v>21</v>
      </c>
      <c r="K321" t="s">
        <v>22</v>
      </c>
      <c r="L321" t="s">
        <v>23</v>
      </c>
      <c r="M321" t="s">
        <v>32</v>
      </c>
    </row>
    <row r="322" spans="1:14" x14ac:dyDescent="0.3">
      <c r="A322" s="3" t="s">
        <v>1103</v>
      </c>
      <c r="B322" s="3" t="s">
        <v>287</v>
      </c>
      <c r="C322" s="3" t="s">
        <v>35</v>
      </c>
      <c r="D322" t="s">
        <v>36</v>
      </c>
      <c r="E322" t="s">
        <v>175</v>
      </c>
      <c r="F322" t="s">
        <v>366</v>
      </c>
      <c r="G322" t="s">
        <v>1104</v>
      </c>
      <c r="H322" t="s">
        <v>1105</v>
      </c>
      <c r="I322" s="4">
        <v>1.1200000000000001</v>
      </c>
      <c r="J322" t="s">
        <v>73</v>
      </c>
      <c r="K322" t="s">
        <v>42</v>
      </c>
      <c r="L322" t="s">
        <v>23</v>
      </c>
      <c r="M322" t="s">
        <v>43</v>
      </c>
    </row>
    <row r="323" spans="1:14" x14ac:dyDescent="0.3">
      <c r="A323" s="3" t="s">
        <v>1106</v>
      </c>
      <c r="B323" s="3" t="s">
        <v>26</v>
      </c>
      <c r="C323" s="3" t="s">
        <v>16</v>
      </c>
      <c r="D323" t="s">
        <v>27</v>
      </c>
      <c r="E323" t="s">
        <v>28</v>
      </c>
      <c r="F323" t="s">
        <v>28</v>
      </c>
      <c r="G323" t="s">
        <v>1107</v>
      </c>
      <c r="H323" t="s">
        <v>1108</v>
      </c>
      <c r="I323" s="4">
        <v>4.0999999999999996</v>
      </c>
      <c r="J323" t="s">
        <v>41</v>
      </c>
      <c r="K323" t="s">
        <v>57</v>
      </c>
      <c r="L323" t="s">
        <v>23</v>
      </c>
      <c r="M323" t="s">
        <v>85</v>
      </c>
    </row>
    <row r="324" spans="1:14" x14ac:dyDescent="0.3">
      <c r="A324" s="3" t="s">
        <v>1109</v>
      </c>
      <c r="B324" s="3" t="s">
        <v>63</v>
      </c>
      <c r="C324" s="3" t="s">
        <v>35</v>
      </c>
      <c r="D324" t="s">
        <v>36</v>
      </c>
      <c r="E324" t="s">
        <v>37</v>
      </c>
      <c r="F324" t="s">
        <v>143</v>
      </c>
      <c r="G324" t="s">
        <v>1110</v>
      </c>
      <c r="H324" t="s">
        <v>1111</v>
      </c>
      <c r="I324" s="4">
        <v>4.83</v>
      </c>
      <c r="J324" t="s">
        <v>73</v>
      </c>
      <c r="K324" t="s">
        <v>101</v>
      </c>
      <c r="L324" t="s">
        <v>23</v>
      </c>
      <c r="M324" t="s">
        <v>32</v>
      </c>
    </row>
    <row r="325" spans="1:14" x14ac:dyDescent="0.3">
      <c r="A325" s="3" t="s">
        <v>1112</v>
      </c>
      <c r="B325" s="3" t="s">
        <v>87</v>
      </c>
      <c r="C325" s="3" t="s">
        <v>35</v>
      </c>
      <c r="D325" t="s">
        <v>45</v>
      </c>
      <c r="E325" t="s">
        <v>45</v>
      </c>
      <c r="F325" t="s">
        <v>45</v>
      </c>
      <c r="G325" t="s">
        <v>1113</v>
      </c>
      <c r="H325" t="s">
        <v>1114</v>
      </c>
      <c r="I325" s="4">
        <v>2.98</v>
      </c>
      <c r="J325" t="s">
        <v>50</v>
      </c>
      <c r="K325" t="s">
        <v>22</v>
      </c>
      <c r="L325" t="s">
        <v>23</v>
      </c>
      <c r="M325" t="s">
        <v>24</v>
      </c>
    </row>
    <row r="326" spans="1:14" x14ac:dyDescent="0.3">
      <c r="A326" s="3" t="s">
        <v>1115</v>
      </c>
      <c r="B326" s="3" t="s">
        <v>52</v>
      </c>
      <c r="C326" s="3" t="s">
        <v>35</v>
      </c>
      <c r="D326" t="s">
        <v>88</v>
      </c>
      <c r="E326" t="s">
        <v>89</v>
      </c>
      <c r="F326" t="s">
        <v>593</v>
      </c>
      <c r="G326" t="s">
        <v>1116</v>
      </c>
      <c r="H326" t="s">
        <v>1117</v>
      </c>
      <c r="I326" s="4">
        <v>1.95</v>
      </c>
      <c r="J326" t="s">
        <v>21</v>
      </c>
      <c r="K326" t="s">
        <v>22</v>
      </c>
      <c r="L326" t="s">
        <v>23</v>
      </c>
      <c r="M326" t="s">
        <v>24</v>
      </c>
    </row>
    <row r="327" spans="1:14" x14ac:dyDescent="0.3">
      <c r="A327" s="3" t="s">
        <v>1118</v>
      </c>
      <c r="B327" s="3" t="s">
        <v>67</v>
      </c>
      <c r="C327" s="3" t="s">
        <v>16</v>
      </c>
      <c r="D327" t="s">
        <v>75</v>
      </c>
      <c r="E327" t="s">
        <v>76</v>
      </c>
      <c r="F327" t="s">
        <v>1119</v>
      </c>
      <c r="G327" t="s">
        <v>1120</v>
      </c>
      <c r="H327" t="s">
        <v>1121</v>
      </c>
      <c r="I327" s="4">
        <v>3.41</v>
      </c>
      <c r="J327" t="s">
        <v>50</v>
      </c>
      <c r="K327" t="s">
        <v>22</v>
      </c>
      <c r="L327" t="s">
        <v>23</v>
      </c>
      <c r="M327" t="s">
        <v>24</v>
      </c>
    </row>
    <row r="328" spans="1:14" x14ac:dyDescent="0.3">
      <c r="A328" s="3" t="s">
        <v>1122</v>
      </c>
      <c r="B328" s="3" t="s">
        <v>87</v>
      </c>
      <c r="C328" s="3" t="s">
        <v>35</v>
      </c>
      <c r="D328" t="s">
        <v>36</v>
      </c>
      <c r="E328" t="s">
        <v>37</v>
      </c>
      <c r="F328" t="s">
        <v>195</v>
      </c>
      <c r="G328" t="s">
        <v>1123</v>
      </c>
      <c r="H328" t="s">
        <v>1124</v>
      </c>
      <c r="I328" s="4">
        <v>0.85</v>
      </c>
      <c r="J328" t="s">
        <v>50</v>
      </c>
      <c r="K328" t="s">
        <v>22</v>
      </c>
      <c r="L328" t="s">
        <v>23</v>
      </c>
      <c r="M328" t="s">
        <v>24</v>
      </c>
    </row>
    <row r="329" spans="1:14" x14ac:dyDescent="0.3">
      <c r="A329" s="3" t="s">
        <v>1125</v>
      </c>
      <c r="B329" s="3" t="s">
        <v>63</v>
      </c>
      <c r="C329" s="3" t="s">
        <v>35</v>
      </c>
      <c r="D329" t="s">
        <v>88</v>
      </c>
      <c r="E329" t="s">
        <v>88</v>
      </c>
      <c r="F329" t="s">
        <v>1066</v>
      </c>
      <c r="G329" t="s">
        <v>1126</v>
      </c>
      <c r="H329" t="s">
        <v>1127</v>
      </c>
      <c r="I329" s="4">
        <v>3.63</v>
      </c>
      <c r="J329" t="s">
        <v>73</v>
      </c>
      <c r="K329" t="s">
        <v>42</v>
      </c>
      <c r="L329" t="s">
        <v>23</v>
      </c>
      <c r="M329" t="s">
        <v>43</v>
      </c>
    </row>
    <row r="330" spans="1:14" x14ac:dyDescent="0.3">
      <c r="A330" s="3" t="s">
        <v>1128</v>
      </c>
      <c r="B330" s="3" t="s">
        <v>287</v>
      </c>
      <c r="C330" s="3" t="s">
        <v>35</v>
      </c>
      <c r="D330" t="s">
        <v>114</v>
      </c>
      <c r="E330" t="s">
        <v>150</v>
      </c>
      <c r="F330" t="s">
        <v>1129</v>
      </c>
      <c r="G330" t="s">
        <v>1130</v>
      </c>
      <c r="H330" t="s">
        <v>1131</v>
      </c>
      <c r="I330" s="4">
        <v>1.7</v>
      </c>
      <c r="J330" t="s">
        <v>41</v>
      </c>
      <c r="K330" t="s">
        <v>42</v>
      </c>
      <c r="L330" t="s">
        <v>119</v>
      </c>
      <c r="M330" t="s">
        <v>85</v>
      </c>
      <c r="N330" s="1">
        <v>45502</v>
      </c>
    </row>
    <row r="331" spans="1:14" x14ac:dyDescent="0.3">
      <c r="A331" s="3" t="s">
        <v>1132</v>
      </c>
      <c r="B331" s="3" t="s">
        <v>15</v>
      </c>
      <c r="C331" s="3" t="s">
        <v>16</v>
      </c>
      <c r="D331" t="s">
        <v>75</v>
      </c>
      <c r="E331" t="s">
        <v>251</v>
      </c>
      <c r="F331" t="s">
        <v>597</v>
      </c>
      <c r="G331" t="s">
        <v>1133</v>
      </c>
      <c r="H331" t="s">
        <v>1134</v>
      </c>
      <c r="I331" s="4">
        <v>1.59</v>
      </c>
      <c r="J331" t="s">
        <v>41</v>
      </c>
      <c r="K331" t="s">
        <v>57</v>
      </c>
      <c r="L331" t="s">
        <v>23</v>
      </c>
      <c r="M331" t="s">
        <v>85</v>
      </c>
    </row>
    <row r="332" spans="1:14" x14ac:dyDescent="0.3">
      <c r="A332" s="3" t="s">
        <v>1135</v>
      </c>
      <c r="B332" s="3" t="s">
        <v>287</v>
      </c>
      <c r="C332" s="3" t="s">
        <v>35</v>
      </c>
      <c r="D332" t="s">
        <v>36</v>
      </c>
      <c r="E332" t="s">
        <v>37</v>
      </c>
      <c r="F332" t="s">
        <v>195</v>
      </c>
      <c r="G332" t="s">
        <v>1136</v>
      </c>
      <c r="H332" t="s">
        <v>1137</v>
      </c>
      <c r="I332" s="4">
        <v>2.61</v>
      </c>
      <c r="J332" t="s">
        <v>50</v>
      </c>
      <c r="K332" t="s">
        <v>22</v>
      </c>
      <c r="L332" t="s">
        <v>23</v>
      </c>
      <c r="M332" t="s">
        <v>24</v>
      </c>
    </row>
    <row r="333" spans="1:14" x14ac:dyDescent="0.3">
      <c r="A333" s="3" t="s">
        <v>1138</v>
      </c>
      <c r="B333" s="3" t="s">
        <v>194</v>
      </c>
      <c r="C333" s="3" t="s">
        <v>35</v>
      </c>
      <c r="D333" t="s">
        <v>114</v>
      </c>
      <c r="E333" t="s">
        <v>115</v>
      </c>
      <c r="F333" t="s">
        <v>229</v>
      </c>
      <c r="G333" t="s">
        <v>1139</v>
      </c>
      <c r="H333" t="s">
        <v>1140</v>
      </c>
      <c r="I333" s="4">
        <v>1.26</v>
      </c>
      <c r="J333" t="s">
        <v>50</v>
      </c>
      <c r="K333" t="s">
        <v>22</v>
      </c>
      <c r="L333" t="s">
        <v>23</v>
      </c>
      <c r="M333" t="s">
        <v>24</v>
      </c>
    </row>
    <row r="334" spans="1:14" x14ac:dyDescent="0.3">
      <c r="A334" s="3" t="s">
        <v>1141</v>
      </c>
      <c r="B334" s="3" t="s">
        <v>194</v>
      </c>
      <c r="C334" s="3" t="s">
        <v>35</v>
      </c>
      <c r="D334" t="s">
        <v>88</v>
      </c>
      <c r="E334" t="s">
        <v>180</v>
      </c>
      <c r="F334" t="s">
        <v>948</v>
      </c>
      <c r="G334" t="s">
        <v>1142</v>
      </c>
      <c r="H334" t="s">
        <v>1143</v>
      </c>
      <c r="I334" s="4">
        <v>1.41</v>
      </c>
      <c r="J334" t="s">
        <v>21</v>
      </c>
      <c r="K334" t="s">
        <v>22</v>
      </c>
      <c r="L334" t="s">
        <v>23</v>
      </c>
      <c r="M334" t="s">
        <v>32</v>
      </c>
    </row>
    <row r="335" spans="1:14" x14ac:dyDescent="0.3">
      <c r="A335" s="3" t="s">
        <v>1144</v>
      </c>
      <c r="B335" s="3" t="s">
        <v>87</v>
      </c>
      <c r="C335" s="3" t="s">
        <v>35</v>
      </c>
      <c r="D335" t="s">
        <v>114</v>
      </c>
      <c r="E335" t="s">
        <v>279</v>
      </c>
      <c r="F335" t="s">
        <v>306</v>
      </c>
      <c r="G335" t="s">
        <v>1145</v>
      </c>
      <c r="H335" t="s">
        <v>186</v>
      </c>
      <c r="I335" s="4">
        <v>4.88</v>
      </c>
      <c r="J335" t="s">
        <v>41</v>
      </c>
      <c r="K335" t="s">
        <v>57</v>
      </c>
      <c r="L335" t="s">
        <v>119</v>
      </c>
      <c r="M335" t="s">
        <v>85</v>
      </c>
      <c r="N335" s="1">
        <v>44731</v>
      </c>
    </row>
    <row r="336" spans="1:14" x14ac:dyDescent="0.3">
      <c r="A336" s="3" t="s">
        <v>1146</v>
      </c>
      <c r="B336" s="3" t="s">
        <v>194</v>
      </c>
      <c r="C336" s="3" t="s">
        <v>35</v>
      </c>
      <c r="D336" t="s">
        <v>36</v>
      </c>
      <c r="E336" t="s">
        <v>53</v>
      </c>
      <c r="F336" t="s">
        <v>808</v>
      </c>
      <c r="G336" t="s">
        <v>1147</v>
      </c>
      <c r="H336" t="s">
        <v>1148</v>
      </c>
      <c r="I336" s="4">
        <v>3.44</v>
      </c>
      <c r="J336" t="s">
        <v>21</v>
      </c>
      <c r="K336" t="s">
        <v>22</v>
      </c>
      <c r="L336" t="s">
        <v>23</v>
      </c>
      <c r="M336" t="s">
        <v>24</v>
      </c>
    </row>
    <row r="337" spans="1:14" x14ac:dyDescent="0.3">
      <c r="A337" s="3" t="s">
        <v>1149</v>
      </c>
      <c r="B337" s="3" t="s">
        <v>63</v>
      </c>
      <c r="C337" s="3" t="s">
        <v>35</v>
      </c>
      <c r="D337" t="s">
        <v>114</v>
      </c>
      <c r="E337" t="s">
        <v>279</v>
      </c>
      <c r="F337" t="s">
        <v>729</v>
      </c>
      <c r="G337" t="s">
        <v>1150</v>
      </c>
      <c r="H337" t="s">
        <v>1151</v>
      </c>
      <c r="I337" s="4">
        <v>0.86</v>
      </c>
      <c r="J337" t="s">
        <v>73</v>
      </c>
      <c r="K337" t="s">
        <v>42</v>
      </c>
      <c r="L337" t="s">
        <v>23</v>
      </c>
      <c r="M337" t="s">
        <v>43</v>
      </c>
    </row>
    <row r="338" spans="1:14" x14ac:dyDescent="0.3">
      <c r="A338" s="3" t="s">
        <v>1152</v>
      </c>
      <c r="B338" s="3" t="s">
        <v>59</v>
      </c>
      <c r="C338" s="3" t="s">
        <v>16</v>
      </c>
      <c r="D338" t="s">
        <v>27</v>
      </c>
      <c r="E338" t="s">
        <v>93</v>
      </c>
      <c r="F338" t="s">
        <v>343</v>
      </c>
      <c r="G338" t="s">
        <v>1153</v>
      </c>
      <c r="H338" t="s">
        <v>1154</v>
      </c>
      <c r="I338" s="4">
        <v>2.96</v>
      </c>
      <c r="J338" t="s">
        <v>73</v>
      </c>
      <c r="K338" t="s">
        <v>57</v>
      </c>
      <c r="L338" t="s">
        <v>23</v>
      </c>
      <c r="M338" t="s">
        <v>32</v>
      </c>
    </row>
    <row r="339" spans="1:14" x14ac:dyDescent="0.3">
      <c r="A339" s="3" t="s">
        <v>1155</v>
      </c>
      <c r="B339" s="3" t="s">
        <v>103</v>
      </c>
      <c r="C339" s="3" t="s">
        <v>16</v>
      </c>
      <c r="D339" t="s">
        <v>75</v>
      </c>
      <c r="E339" t="s">
        <v>75</v>
      </c>
      <c r="F339" t="s">
        <v>251</v>
      </c>
      <c r="G339" t="s">
        <v>1156</v>
      </c>
      <c r="H339" t="s">
        <v>1157</v>
      </c>
      <c r="I339" s="4">
        <v>3.23</v>
      </c>
      <c r="J339" t="s">
        <v>21</v>
      </c>
      <c r="K339" t="s">
        <v>22</v>
      </c>
      <c r="L339" t="s">
        <v>23</v>
      </c>
      <c r="M339" t="s">
        <v>32</v>
      </c>
    </row>
    <row r="340" spans="1:14" x14ac:dyDescent="0.3">
      <c r="A340" s="3" t="s">
        <v>1158</v>
      </c>
      <c r="B340" s="3" t="s">
        <v>194</v>
      </c>
      <c r="C340" s="3" t="s">
        <v>35</v>
      </c>
      <c r="D340" t="s">
        <v>114</v>
      </c>
      <c r="E340" t="s">
        <v>279</v>
      </c>
      <c r="F340" t="s">
        <v>195</v>
      </c>
      <c r="G340" t="s">
        <v>1159</v>
      </c>
      <c r="H340" t="s">
        <v>1160</v>
      </c>
      <c r="I340" s="4">
        <v>4.1500000000000004</v>
      </c>
      <c r="J340" t="s">
        <v>50</v>
      </c>
      <c r="K340" t="s">
        <v>22</v>
      </c>
      <c r="L340" t="s">
        <v>23</v>
      </c>
      <c r="M340" t="s">
        <v>24</v>
      </c>
    </row>
    <row r="341" spans="1:14" x14ac:dyDescent="0.3">
      <c r="A341" s="3" t="s">
        <v>1161</v>
      </c>
      <c r="B341" s="3" t="s">
        <v>194</v>
      </c>
      <c r="C341" s="3" t="s">
        <v>35</v>
      </c>
      <c r="D341" t="s">
        <v>114</v>
      </c>
      <c r="E341" t="s">
        <v>279</v>
      </c>
      <c r="F341" t="s">
        <v>280</v>
      </c>
      <c r="G341" t="s">
        <v>1162</v>
      </c>
      <c r="H341" t="s">
        <v>1163</v>
      </c>
      <c r="I341" s="4">
        <v>3.53</v>
      </c>
      <c r="J341" t="s">
        <v>73</v>
      </c>
      <c r="K341" t="s">
        <v>57</v>
      </c>
      <c r="L341" t="s">
        <v>23</v>
      </c>
      <c r="M341" t="s">
        <v>32</v>
      </c>
    </row>
    <row r="342" spans="1:14" x14ac:dyDescent="0.3">
      <c r="A342" s="3" t="s">
        <v>1164</v>
      </c>
      <c r="B342" s="3" t="s">
        <v>67</v>
      </c>
      <c r="C342" s="3" t="s">
        <v>16</v>
      </c>
      <c r="D342" t="s">
        <v>68</v>
      </c>
      <c r="E342" t="s">
        <v>436</v>
      </c>
      <c r="F342" t="s">
        <v>436</v>
      </c>
      <c r="G342" t="s">
        <v>1165</v>
      </c>
      <c r="H342" t="s">
        <v>1166</v>
      </c>
      <c r="I342" s="4">
        <v>4.7699999999999996</v>
      </c>
      <c r="J342" t="s">
        <v>21</v>
      </c>
      <c r="K342" t="s">
        <v>22</v>
      </c>
      <c r="L342" t="s">
        <v>23</v>
      </c>
      <c r="M342" t="s">
        <v>32</v>
      </c>
    </row>
    <row r="343" spans="1:14" x14ac:dyDescent="0.3">
      <c r="A343" s="3" t="s">
        <v>1167</v>
      </c>
      <c r="B343" s="3" t="s">
        <v>103</v>
      </c>
      <c r="C343" s="3" t="s">
        <v>16</v>
      </c>
      <c r="D343" t="s">
        <v>17</v>
      </c>
      <c r="E343" t="s">
        <v>17</v>
      </c>
      <c r="F343" t="s">
        <v>339</v>
      </c>
      <c r="G343" t="s">
        <v>1168</v>
      </c>
      <c r="H343" t="s">
        <v>1169</v>
      </c>
      <c r="I343" s="4">
        <v>3.52</v>
      </c>
      <c r="J343" t="s">
        <v>73</v>
      </c>
      <c r="K343" t="s">
        <v>101</v>
      </c>
      <c r="L343" t="s">
        <v>23</v>
      </c>
      <c r="M343" t="s">
        <v>32</v>
      </c>
    </row>
    <row r="344" spans="1:14" x14ac:dyDescent="0.3">
      <c r="A344" s="3" t="s">
        <v>1170</v>
      </c>
      <c r="B344" s="3" t="s">
        <v>113</v>
      </c>
      <c r="C344" s="3" t="s">
        <v>35</v>
      </c>
      <c r="D344" t="s">
        <v>36</v>
      </c>
      <c r="E344" t="s">
        <v>175</v>
      </c>
      <c r="F344" t="s">
        <v>175</v>
      </c>
      <c r="G344" t="s">
        <v>245</v>
      </c>
      <c r="H344" t="s">
        <v>1058</v>
      </c>
      <c r="I344" s="4">
        <v>4.28</v>
      </c>
      <c r="J344" t="s">
        <v>21</v>
      </c>
      <c r="K344" t="s">
        <v>22</v>
      </c>
      <c r="L344" t="s">
        <v>23</v>
      </c>
      <c r="M344" t="s">
        <v>24</v>
      </c>
    </row>
    <row r="345" spans="1:14" x14ac:dyDescent="0.3">
      <c r="A345" s="3" t="s">
        <v>1171</v>
      </c>
      <c r="B345" s="3" t="s">
        <v>52</v>
      </c>
      <c r="C345" s="3" t="s">
        <v>35</v>
      </c>
      <c r="D345" t="s">
        <v>167</v>
      </c>
      <c r="E345" t="s">
        <v>350</v>
      </c>
      <c r="F345" t="s">
        <v>863</v>
      </c>
      <c r="G345" t="s">
        <v>1172</v>
      </c>
      <c r="H345" t="s">
        <v>873</v>
      </c>
      <c r="I345" s="4">
        <v>2.76</v>
      </c>
      <c r="J345" t="s">
        <v>21</v>
      </c>
      <c r="K345" t="s">
        <v>22</v>
      </c>
      <c r="L345" t="s">
        <v>23</v>
      </c>
      <c r="M345" t="s">
        <v>24</v>
      </c>
    </row>
    <row r="346" spans="1:14" x14ac:dyDescent="0.3">
      <c r="A346" s="3" t="s">
        <v>1173</v>
      </c>
      <c r="B346" s="3" t="s">
        <v>67</v>
      </c>
      <c r="C346" s="3" t="s">
        <v>16</v>
      </c>
      <c r="D346" t="s">
        <v>75</v>
      </c>
      <c r="E346" t="s">
        <v>76</v>
      </c>
      <c r="F346" t="s">
        <v>76</v>
      </c>
      <c r="G346" t="s">
        <v>1174</v>
      </c>
      <c r="H346" t="s">
        <v>1175</v>
      </c>
      <c r="I346" s="4">
        <v>3.32</v>
      </c>
      <c r="J346" t="s">
        <v>21</v>
      </c>
      <c r="K346" t="s">
        <v>22</v>
      </c>
      <c r="L346" t="s">
        <v>23</v>
      </c>
      <c r="M346" t="s">
        <v>32</v>
      </c>
    </row>
    <row r="347" spans="1:14" x14ac:dyDescent="0.3">
      <c r="A347" s="3" t="s">
        <v>1176</v>
      </c>
      <c r="B347" s="3" t="s">
        <v>287</v>
      </c>
      <c r="C347" s="3" t="s">
        <v>35</v>
      </c>
      <c r="D347" t="s">
        <v>167</v>
      </c>
      <c r="E347" t="s">
        <v>350</v>
      </c>
      <c r="F347" t="s">
        <v>509</v>
      </c>
      <c r="G347" t="s">
        <v>1177</v>
      </c>
      <c r="H347" t="s">
        <v>484</v>
      </c>
      <c r="I347" s="4">
        <v>4.29</v>
      </c>
      <c r="J347" t="s">
        <v>73</v>
      </c>
      <c r="K347" t="s">
        <v>57</v>
      </c>
      <c r="L347" t="s">
        <v>23</v>
      </c>
      <c r="M347" t="s">
        <v>43</v>
      </c>
    </row>
    <row r="348" spans="1:14" x14ac:dyDescent="0.3">
      <c r="A348" s="3" t="s">
        <v>1178</v>
      </c>
      <c r="B348" s="3" t="s">
        <v>113</v>
      </c>
      <c r="C348" s="3" t="s">
        <v>35</v>
      </c>
      <c r="D348" t="s">
        <v>88</v>
      </c>
      <c r="E348" t="s">
        <v>88</v>
      </c>
      <c r="F348" t="s">
        <v>244</v>
      </c>
      <c r="G348" t="s">
        <v>1179</v>
      </c>
      <c r="H348" t="s">
        <v>1180</v>
      </c>
      <c r="I348" s="4">
        <v>2.99</v>
      </c>
      <c r="J348" t="s">
        <v>41</v>
      </c>
      <c r="K348" t="s">
        <v>57</v>
      </c>
      <c r="L348" t="s">
        <v>23</v>
      </c>
      <c r="M348" t="s">
        <v>43</v>
      </c>
    </row>
    <row r="349" spans="1:14" x14ac:dyDescent="0.3">
      <c r="A349" s="3" t="s">
        <v>1181</v>
      </c>
      <c r="B349" s="3" t="s">
        <v>113</v>
      </c>
      <c r="C349" s="3" t="s">
        <v>35</v>
      </c>
      <c r="D349" t="s">
        <v>114</v>
      </c>
      <c r="E349" t="s">
        <v>279</v>
      </c>
      <c r="F349" t="s">
        <v>280</v>
      </c>
      <c r="G349" t="s">
        <v>1182</v>
      </c>
      <c r="H349" t="s">
        <v>541</v>
      </c>
      <c r="I349" s="4">
        <v>3.44</v>
      </c>
      <c r="J349" t="s">
        <v>41</v>
      </c>
      <c r="K349" t="s">
        <v>57</v>
      </c>
      <c r="L349" t="s">
        <v>119</v>
      </c>
      <c r="M349" t="s">
        <v>85</v>
      </c>
      <c r="N349" s="1">
        <v>45562</v>
      </c>
    </row>
    <row r="350" spans="1:14" x14ac:dyDescent="0.3">
      <c r="A350" s="3" t="s">
        <v>1183</v>
      </c>
      <c r="B350" s="3" t="s">
        <v>34</v>
      </c>
      <c r="C350" s="3" t="s">
        <v>35</v>
      </c>
      <c r="D350" t="s">
        <v>114</v>
      </c>
      <c r="E350" t="s">
        <v>279</v>
      </c>
      <c r="F350" t="s">
        <v>306</v>
      </c>
      <c r="G350" t="s">
        <v>1184</v>
      </c>
      <c r="H350" t="s">
        <v>1185</v>
      </c>
      <c r="I350" s="4">
        <v>4.21</v>
      </c>
      <c r="J350" t="s">
        <v>50</v>
      </c>
      <c r="K350" t="s">
        <v>22</v>
      </c>
      <c r="L350" t="s">
        <v>23</v>
      </c>
      <c r="M350" t="s">
        <v>24</v>
      </c>
    </row>
    <row r="351" spans="1:14" x14ac:dyDescent="0.3">
      <c r="A351" s="3" t="s">
        <v>1186</v>
      </c>
      <c r="B351" s="3" t="s">
        <v>113</v>
      </c>
      <c r="C351" s="3" t="s">
        <v>35</v>
      </c>
      <c r="D351" t="s">
        <v>114</v>
      </c>
      <c r="E351" t="s">
        <v>150</v>
      </c>
      <c r="F351" t="s">
        <v>404</v>
      </c>
      <c r="G351" t="s">
        <v>1187</v>
      </c>
      <c r="H351" t="s">
        <v>1188</v>
      </c>
      <c r="I351" s="4">
        <v>4.6100000000000003</v>
      </c>
      <c r="J351" t="s">
        <v>73</v>
      </c>
      <c r="K351" t="s">
        <v>101</v>
      </c>
      <c r="L351" t="s">
        <v>23</v>
      </c>
      <c r="M351" t="s">
        <v>43</v>
      </c>
    </row>
    <row r="352" spans="1:14" x14ac:dyDescent="0.3">
      <c r="A352" s="3" t="s">
        <v>1189</v>
      </c>
      <c r="B352" s="3" t="s">
        <v>52</v>
      </c>
      <c r="C352" s="3" t="s">
        <v>35</v>
      </c>
      <c r="D352" t="s">
        <v>45</v>
      </c>
      <c r="E352" t="s">
        <v>138</v>
      </c>
      <c r="F352" t="s">
        <v>138</v>
      </c>
      <c r="G352" t="s">
        <v>1190</v>
      </c>
      <c r="H352" t="s">
        <v>1191</v>
      </c>
      <c r="I352" s="4">
        <v>2.98</v>
      </c>
      <c r="J352" t="s">
        <v>73</v>
      </c>
      <c r="K352" t="s">
        <v>57</v>
      </c>
      <c r="L352" t="s">
        <v>23</v>
      </c>
      <c r="M352" t="s">
        <v>43</v>
      </c>
    </row>
    <row r="353" spans="1:14" x14ac:dyDescent="0.3">
      <c r="A353" s="3" t="s">
        <v>1192</v>
      </c>
      <c r="B353" s="3" t="s">
        <v>158</v>
      </c>
      <c r="C353" s="3" t="s">
        <v>16</v>
      </c>
      <c r="D353" t="s">
        <v>104</v>
      </c>
      <c r="E353" t="s">
        <v>105</v>
      </c>
      <c r="F353" t="s">
        <v>392</v>
      </c>
      <c r="G353" t="s">
        <v>1193</v>
      </c>
      <c r="H353" t="s">
        <v>1194</v>
      </c>
      <c r="I353" s="4">
        <v>4.0199999999999996</v>
      </c>
      <c r="J353" t="s">
        <v>73</v>
      </c>
      <c r="K353" t="s">
        <v>42</v>
      </c>
      <c r="L353" t="s">
        <v>23</v>
      </c>
      <c r="M353" t="s">
        <v>43</v>
      </c>
    </row>
    <row r="354" spans="1:14" x14ac:dyDescent="0.3">
      <c r="A354" s="3" t="s">
        <v>1195</v>
      </c>
      <c r="B354" s="3" t="s">
        <v>67</v>
      </c>
      <c r="C354" s="3" t="s">
        <v>16</v>
      </c>
      <c r="D354" t="s">
        <v>27</v>
      </c>
      <c r="E354" t="s">
        <v>93</v>
      </c>
      <c r="F354" t="s">
        <v>270</v>
      </c>
      <c r="G354" t="s">
        <v>1196</v>
      </c>
      <c r="H354" t="s">
        <v>912</v>
      </c>
      <c r="I354" s="4">
        <v>2.12</v>
      </c>
      <c r="J354" t="s">
        <v>50</v>
      </c>
      <c r="K354" t="s">
        <v>22</v>
      </c>
      <c r="L354" t="s">
        <v>23</v>
      </c>
      <c r="M354" t="s">
        <v>24</v>
      </c>
    </row>
    <row r="355" spans="1:14" x14ac:dyDescent="0.3">
      <c r="A355" s="3" t="s">
        <v>1197</v>
      </c>
      <c r="B355" s="3" t="s">
        <v>113</v>
      </c>
      <c r="C355" s="3" t="s">
        <v>35</v>
      </c>
      <c r="D355" t="s">
        <v>114</v>
      </c>
      <c r="E355" t="s">
        <v>115</v>
      </c>
      <c r="F355" t="s">
        <v>216</v>
      </c>
      <c r="G355" t="s">
        <v>1198</v>
      </c>
      <c r="H355" t="s">
        <v>1199</v>
      </c>
      <c r="I355" s="4">
        <v>2.2400000000000002</v>
      </c>
      <c r="J355" t="s">
        <v>73</v>
      </c>
      <c r="K355" t="s">
        <v>42</v>
      </c>
      <c r="L355" t="s">
        <v>23</v>
      </c>
      <c r="M355" t="s">
        <v>32</v>
      </c>
    </row>
    <row r="356" spans="1:14" x14ac:dyDescent="0.3">
      <c r="A356" s="3" t="s">
        <v>1200</v>
      </c>
      <c r="B356" s="3" t="s">
        <v>158</v>
      </c>
      <c r="C356" s="3" t="s">
        <v>16</v>
      </c>
      <c r="D356" t="s">
        <v>27</v>
      </c>
      <c r="E356" t="s">
        <v>27</v>
      </c>
      <c r="F356" t="s">
        <v>93</v>
      </c>
      <c r="G356" t="s">
        <v>1201</v>
      </c>
      <c r="H356" t="s">
        <v>1202</v>
      </c>
      <c r="I356" s="4">
        <v>2.9</v>
      </c>
      <c r="J356" t="s">
        <v>41</v>
      </c>
      <c r="K356" t="s">
        <v>57</v>
      </c>
      <c r="L356" t="s">
        <v>119</v>
      </c>
      <c r="M356" t="s">
        <v>85</v>
      </c>
      <c r="N356" s="1">
        <v>45323</v>
      </c>
    </row>
    <row r="357" spans="1:14" x14ac:dyDescent="0.3">
      <c r="A357" s="3" t="s">
        <v>1203</v>
      </c>
      <c r="B357" s="3" t="s">
        <v>194</v>
      </c>
      <c r="C357" s="3" t="s">
        <v>35</v>
      </c>
      <c r="D357" t="s">
        <v>114</v>
      </c>
      <c r="E357" t="s">
        <v>150</v>
      </c>
      <c r="F357" t="s">
        <v>898</v>
      </c>
      <c r="G357" t="s">
        <v>1204</v>
      </c>
      <c r="H357" t="s">
        <v>1127</v>
      </c>
      <c r="I357" s="4">
        <v>2.91</v>
      </c>
      <c r="J357" t="s">
        <v>73</v>
      </c>
      <c r="K357" t="s">
        <v>101</v>
      </c>
      <c r="L357" t="s">
        <v>23</v>
      </c>
      <c r="M357" t="s">
        <v>43</v>
      </c>
    </row>
    <row r="358" spans="1:14" x14ac:dyDescent="0.3">
      <c r="A358" s="3" t="s">
        <v>1205</v>
      </c>
      <c r="B358" s="3" t="s">
        <v>26</v>
      </c>
      <c r="C358" s="3" t="s">
        <v>16</v>
      </c>
      <c r="D358" t="s">
        <v>104</v>
      </c>
      <c r="E358" t="s">
        <v>274</v>
      </c>
      <c r="F358" t="s">
        <v>275</v>
      </c>
      <c r="G358" t="s">
        <v>1206</v>
      </c>
      <c r="H358" t="s">
        <v>785</v>
      </c>
      <c r="I358" s="4">
        <v>2.2200000000000002</v>
      </c>
      <c r="J358" t="s">
        <v>50</v>
      </c>
      <c r="K358" t="s">
        <v>22</v>
      </c>
      <c r="L358" t="s">
        <v>23</v>
      </c>
      <c r="M358" t="s">
        <v>24</v>
      </c>
    </row>
    <row r="359" spans="1:14" x14ac:dyDescent="0.3">
      <c r="A359" s="3" t="s">
        <v>1207</v>
      </c>
      <c r="B359" s="3" t="s">
        <v>194</v>
      </c>
      <c r="C359" s="3" t="s">
        <v>35</v>
      </c>
      <c r="D359" t="s">
        <v>167</v>
      </c>
      <c r="E359" t="s">
        <v>168</v>
      </c>
      <c r="F359" t="s">
        <v>486</v>
      </c>
      <c r="G359" t="s">
        <v>1208</v>
      </c>
      <c r="H359" t="s">
        <v>1209</v>
      </c>
      <c r="I359" s="4">
        <v>0.94</v>
      </c>
      <c r="J359" t="s">
        <v>41</v>
      </c>
      <c r="K359" t="s">
        <v>57</v>
      </c>
      <c r="L359" t="s">
        <v>23</v>
      </c>
      <c r="M359" t="s">
        <v>85</v>
      </c>
    </row>
    <row r="360" spans="1:14" x14ac:dyDescent="0.3">
      <c r="A360" s="3" t="s">
        <v>1210</v>
      </c>
      <c r="B360" s="3" t="s">
        <v>34</v>
      </c>
      <c r="C360" s="3" t="s">
        <v>35</v>
      </c>
      <c r="D360" t="s">
        <v>45</v>
      </c>
      <c r="E360" t="s">
        <v>138</v>
      </c>
      <c r="F360" t="s">
        <v>138</v>
      </c>
      <c r="G360" t="s">
        <v>1211</v>
      </c>
      <c r="H360" t="s">
        <v>1212</v>
      </c>
      <c r="I360" s="4">
        <v>4.96</v>
      </c>
      <c r="J360" t="s">
        <v>21</v>
      </c>
      <c r="K360" t="s">
        <v>101</v>
      </c>
      <c r="L360" t="s">
        <v>23</v>
      </c>
      <c r="M360" t="s">
        <v>32</v>
      </c>
    </row>
    <row r="361" spans="1:14" x14ac:dyDescent="0.3">
      <c r="A361" s="3" t="s">
        <v>1213</v>
      </c>
      <c r="B361" s="3" t="s">
        <v>124</v>
      </c>
      <c r="C361" s="3" t="s">
        <v>16</v>
      </c>
      <c r="D361" t="s">
        <v>68</v>
      </c>
      <c r="E361" t="s">
        <v>69</v>
      </c>
      <c r="F361" t="s">
        <v>524</v>
      </c>
      <c r="G361" t="s">
        <v>1214</v>
      </c>
      <c r="H361" t="s">
        <v>61</v>
      </c>
      <c r="I361" s="4">
        <v>3.19</v>
      </c>
      <c r="J361" t="s">
        <v>50</v>
      </c>
      <c r="K361" t="s">
        <v>22</v>
      </c>
      <c r="L361" t="s">
        <v>23</v>
      </c>
      <c r="M361" t="s">
        <v>24</v>
      </c>
    </row>
    <row r="362" spans="1:14" x14ac:dyDescent="0.3">
      <c r="A362" s="3" t="s">
        <v>1215</v>
      </c>
      <c r="B362" s="3" t="s">
        <v>158</v>
      </c>
      <c r="C362" s="3" t="s">
        <v>16</v>
      </c>
      <c r="D362" t="s">
        <v>75</v>
      </c>
      <c r="E362" t="s">
        <v>251</v>
      </c>
      <c r="F362" t="s">
        <v>975</v>
      </c>
      <c r="G362" t="s">
        <v>1216</v>
      </c>
      <c r="H362" t="s">
        <v>918</v>
      </c>
      <c r="I362" s="4">
        <v>2.11</v>
      </c>
      <c r="J362" t="s">
        <v>73</v>
      </c>
      <c r="K362" t="s">
        <v>42</v>
      </c>
      <c r="L362" t="s">
        <v>23</v>
      </c>
      <c r="M362" t="s">
        <v>32</v>
      </c>
    </row>
    <row r="363" spans="1:14" x14ac:dyDescent="0.3">
      <c r="A363" s="3" t="s">
        <v>1217</v>
      </c>
      <c r="B363" s="3" t="s">
        <v>63</v>
      </c>
      <c r="C363" s="3" t="s">
        <v>35</v>
      </c>
      <c r="D363" t="s">
        <v>36</v>
      </c>
      <c r="E363" t="s">
        <v>53</v>
      </c>
      <c r="F363" t="s">
        <v>473</v>
      </c>
      <c r="G363" t="s">
        <v>1218</v>
      </c>
      <c r="H363" t="s">
        <v>698</v>
      </c>
      <c r="I363" s="4">
        <v>1.7</v>
      </c>
      <c r="J363" t="s">
        <v>21</v>
      </c>
      <c r="K363" t="s">
        <v>22</v>
      </c>
      <c r="L363" t="s">
        <v>23</v>
      </c>
      <c r="M363" t="s">
        <v>24</v>
      </c>
    </row>
    <row r="364" spans="1:14" x14ac:dyDescent="0.3">
      <c r="A364" s="3" t="s">
        <v>1219</v>
      </c>
      <c r="B364" s="3" t="s">
        <v>34</v>
      </c>
      <c r="C364" s="3" t="s">
        <v>35</v>
      </c>
      <c r="D364" t="s">
        <v>45</v>
      </c>
      <c r="E364" t="s">
        <v>46</v>
      </c>
      <c r="F364" t="s">
        <v>109</v>
      </c>
      <c r="G364" t="s">
        <v>1220</v>
      </c>
      <c r="H364" t="s">
        <v>1221</v>
      </c>
      <c r="I364" s="4">
        <v>1.1399999999999999</v>
      </c>
      <c r="J364" t="s">
        <v>50</v>
      </c>
      <c r="K364" t="s">
        <v>22</v>
      </c>
      <c r="L364" t="s">
        <v>23</v>
      </c>
      <c r="M364" t="s">
        <v>24</v>
      </c>
    </row>
    <row r="365" spans="1:14" x14ac:dyDescent="0.3">
      <c r="A365" s="3" t="s">
        <v>1222</v>
      </c>
      <c r="B365" s="3" t="s">
        <v>287</v>
      </c>
      <c r="C365" s="3" t="s">
        <v>35</v>
      </c>
      <c r="D365" t="s">
        <v>45</v>
      </c>
      <c r="E365" t="s">
        <v>45</v>
      </c>
      <c r="F365" t="s">
        <v>98</v>
      </c>
      <c r="G365" t="s">
        <v>1223</v>
      </c>
      <c r="H365" t="s">
        <v>1224</v>
      </c>
      <c r="I365" s="4">
        <v>1.23</v>
      </c>
      <c r="J365" t="s">
        <v>21</v>
      </c>
      <c r="K365" t="s">
        <v>101</v>
      </c>
      <c r="L365" t="s">
        <v>23</v>
      </c>
      <c r="M365" t="s">
        <v>32</v>
      </c>
    </row>
    <row r="366" spans="1:14" x14ac:dyDescent="0.3">
      <c r="A366" s="3" t="s">
        <v>1225</v>
      </c>
      <c r="B366" s="3" t="s">
        <v>113</v>
      </c>
      <c r="C366" s="3" t="s">
        <v>35</v>
      </c>
      <c r="D366" t="s">
        <v>167</v>
      </c>
      <c r="E366" t="s">
        <v>350</v>
      </c>
      <c r="F366" t="s">
        <v>863</v>
      </c>
      <c r="G366" t="s">
        <v>1226</v>
      </c>
      <c r="H366" t="s">
        <v>1221</v>
      </c>
      <c r="I366" s="4">
        <v>3.64</v>
      </c>
      <c r="J366" t="s">
        <v>50</v>
      </c>
      <c r="K366" t="s">
        <v>22</v>
      </c>
      <c r="L366" t="s">
        <v>23</v>
      </c>
      <c r="M366" t="s">
        <v>24</v>
      </c>
    </row>
    <row r="367" spans="1:14" x14ac:dyDescent="0.3">
      <c r="A367" s="3" t="s">
        <v>1227</v>
      </c>
      <c r="B367" s="3" t="s">
        <v>103</v>
      </c>
      <c r="C367" s="3" t="s">
        <v>16</v>
      </c>
      <c r="D367" t="s">
        <v>68</v>
      </c>
      <c r="E367" t="s">
        <v>436</v>
      </c>
      <c r="F367" t="s">
        <v>582</v>
      </c>
      <c r="G367" t="s">
        <v>1228</v>
      </c>
      <c r="H367" t="s">
        <v>136</v>
      </c>
      <c r="I367" s="4">
        <v>2.69</v>
      </c>
      <c r="J367" t="s">
        <v>50</v>
      </c>
      <c r="K367" t="s">
        <v>22</v>
      </c>
      <c r="L367" t="s">
        <v>23</v>
      </c>
      <c r="M367" t="s">
        <v>24</v>
      </c>
    </row>
    <row r="368" spans="1:14" x14ac:dyDescent="0.3">
      <c r="A368" s="3" t="s">
        <v>1229</v>
      </c>
      <c r="B368" s="3" t="s">
        <v>158</v>
      </c>
      <c r="C368" s="3" t="s">
        <v>16</v>
      </c>
      <c r="D368" t="s">
        <v>17</v>
      </c>
      <c r="E368" t="s">
        <v>81</v>
      </c>
      <c r="F368" t="s">
        <v>159</v>
      </c>
      <c r="G368" t="s">
        <v>1230</v>
      </c>
      <c r="H368" t="s">
        <v>96</v>
      </c>
      <c r="I368" s="4">
        <v>3.73</v>
      </c>
      <c r="J368" t="s">
        <v>50</v>
      </c>
      <c r="K368" t="s">
        <v>22</v>
      </c>
      <c r="L368" t="s">
        <v>23</v>
      </c>
      <c r="M368" t="s">
        <v>24</v>
      </c>
    </row>
    <row r="369" spans="1:13" x14ac:dyDescent="0.3">
      <c r="A369" s="3" t="s">
        <v>1231</v>
      </c>
      <c r="B369" s="3" t="s">
        <v>194</v>
      </c>
      <c r="C369" s="3" t="s">
        <v>35</v>
      </c>
      <c r="D369" t="s">
        <v>45</v>
      </c>
      <c r="E369" t="s">
        <v>138</v>
      </c>
      <c r="F369" t="s">
        <v>240</v>
      </c>
      <c r="G369" t="s">
        <v>1232</v>
      </c>
      <c r="H369" t="s">
        <v>1233</v>
      </c>
      <c r="I369" s="4">
        <v>2.12</v>
      </c>
      <c r="J369" t="s">
        <v>73</v>
      </c>
      <c r="K369" t="s">
        <v>101</v>
      </c>
      <c r="L369" t="s">
        <v>23</v>
      </c>
      <c r="M369" t="s">
        <v>32</v>
      </c>
    </row>
    <row r="370" spans="1:13" x14ac:dyDescent="0.3">
      <c r="A370" s="3" t="s">
        <v>1234</v>
      </c>
      <c r="B370" s="3" t="s">
        <v>113</v>
      </c>
      <c r="C370" s="3" t="s">
        <v>35</v>
      </c>
      <c r="D370" t="s">
        <v>114</v>
      </c>
      <c r="E370" t="s">
        <v>279</v>
      </c>
      <c r="F370" t="s">
        <v>280</v>
      </c>
      <c r="G370" t="s">
        <v>1235</v>
      </c>
      <c r="H370" t="s">
        <v>1236</v>
      </c>
      <c r="I370" s="4">
        <v>2.09</v>
      </c>
      <c r="J370" t="s">
        <v>73</v>
      </c>
      <c r="K370" t="s">
        <v>57</v>
      </c>
      <c r="L370" t="s">
        <v>23</v>
      </c>
      <c r="M370" t="s">
        <v>32</v>
      </c>
    </row>
    <row r="371" spans="1:13" x14ac:dyDescent="0.3">
      <c r="A371" s="3" t="s">
        <v>1237</v>
      </c>
      <c r="B371" s="3" t="s">
        <v>158</v>
      </c>
      <c r="C371" s="3" t="s">
        <v>16</v>
      </c>
      <c r="D371" t="s">
        <v>17</v>
      </c>
      <c r="E371" t="s">
        <v>17</v>
      </c>
      <c r="F371" t="s">
        <v>81</v>
      </c>
      <c r="G371" t="s">
        <v>1238</v>
      </c>
      <c r="H371" t="s">
        <v>1239</v>
      </c>
      <c r="I371" s="4">
        <v>4.51</v>
      </c>
      <c r="J371" t="s">
        <v>50</v>
      </c>
      <c r="K371" t="s">
        <v>22</v>
      </c>
      <c r="L371" t="s">
        <v>23</v>
      </c>
      <c r="M371" t="s">
        <v>24</v>
      </c>
    </row>
    <row r="372" spans="1:13" x14ac:dyDescent="0.3">
      <c r="A372" s="3" t="s">
        <v>1240</v>
      </c>
      <c r="B372" s="3" t="s">
        <v>158</v>
      </c>
      <c r="C372" s="3" t="s">
        <v>16</v>
      </c>
      <c r="D372" t="s">
        <v>75</v>
      </c>
      <c r="E372" t="s">
        <v>251</v>
      </c>
      <c r="F372" t="s">
        <v>252</v>
      </c>
      <c r="G372" t="s">
        <v>1241</v>
      </c>
      <c r="H372" t="s">
        <v>977</v>
      </c>
      <c r="I372" s="4">
        <v>3.6</v>
      </c>
      <c r="J372" t="s">
        <v>21</v>
      </c>
      <c r="K372" t="s">
        <v>101</v>
      </c>
      <c r="L372" t="s">
        <v>23</v>
      </c>
      <c r="M372" t="s">
        <v>32</v>
      </c>
    </row>
    <row r="373" spans="1:13" x14ac:dyDescent="0.3">
      <c r="A373" s="3" t="s">
        <v>1242</v>
      </c>
      <c r="B373" s="3" t="s">
        <v>131</v>
      </c>
      <c r="C373" s="3" t="s">
        <v>35</v>
      </c>
      <c r="D373" t="s">
        <v>114</v>
      </c>
      <c r="E373" t="s">
        <v>279</v>
      </c>
      <c r="F373" t="s">
        <v>306</v>
      </c>
      <c r="G373" t="s">
        <v>1243</v>
      </c>
      <c r="H373" t="s">
        <v>1244</v>
      </c>
      <c r="I373" s="4">
        <v>3.12</v>
      </c>
      <c r="J373" t="s">
        <v>50</v>
      </c>
      <c r="K373" t="s">
        <v>22</v>
      </c>
      <c r="L373" t="s">
        <v>23</v>
      </c>
      <c r="M373" t="s">
        <v>24</v>
      </c>
    </row>
    <row r="374" spans="1:13" x14ac:dyDescent="0.3">
      <c r="A374" s="3" t="s">
        <v>1245</v>
      </c>
      <c r="B374" s="3" t="s">
        <v>158</v>
      </c>
      <c r="C374" s="3" t="s">
        <v>16</v>
      </c>
      <c r="D374" t="s">
        <v>104</v>
      </c>
      <c r="E374" t="s">
        <v>274</v>
      </c>
      <c r="F374" t="s">
        <v>275</v>
      </c>
      <c r="G374" t="s">
        <v>1246</v>
      </c>
      <c r="H374" t="s">
        <v>1247</v>
      </c>
      <c r="I374" s="4">
        <v>0.72</v>
      </c>
      <c r="J374" t="s">
        <v>41</v>
      </c>
      <c r="K374" t="s">
        <v>57</v>
      </c>
      <c r="L374" t="s">
        <v>119</v>
      </c>
      <c r="M374" t="s">
        <v>43</v>
      </c>
    </row>
    <row r="375" spans="1:13" x14ac:dyDescent="0.3">
      <c r="A375" s="3" t="s">
        <v>1248</v>
      </c>
      <c r="B375" s="3" t="s">
        <v>113</v>
      </c>
      <c r="C375" s="3" t="s">
        <v>35</v>
      </c>
      <c r="D375" t="s">
        <v>45</v>
      </c>
      <c r="E375" t="s">
        <v>138</v>
      </c>
      <c r="F375" t="s">
        <v>553</v>
      </c>
      <c r="G375" t="s">
        <v>1249</v>
      </c>
      <c r="H375" t="s">
        <v>1250</v>
      </c>
      <c r="I375" s="4">
        <v>3.89</v>
      </c>
      <c r="J375" t="s">
        <v>50</v>
      </c>
      <c r="K375" t="s">
        <v>22</v>
      </c>
      <c r="L375" t="s">
        <v>23</v>
      </c>
      <c r="M375" t="s">
        <v>24</v>
      </c>
    </row>
    <row r="376" spans="1:13" x14ac:dyDescent="0.3">
      <c r="A376" s="3" t="s">
        <v>1251</v>
      </c>
      <c r="B376" s="3" t="s">
        <v>26</v>
      </c>
      <c r="C376" s="3" t="s">
        <v>16</v>
      </c>
      <c r="D376" t="s">
        <v>68</v>
      </c>
      <c r="E376" t="s">
        <v>68</v>
      </c>
      <c r="F376" t="s">
        <v>642</v>
      </c>
      <c r="G376" t="s">
        <v>1252</v>
      </c>
      <c r="H376" t="s">
        <v>1253</v>
      </c>
      <c r="I376" s="4">
        <v>1.2</v>
      </c>
      <c r="J376" t="s">
        <v>50</v>
      </c>
      <c r="K376" t="s">
        <v>22</v>
      </c>
      <c r="L376" t="s">
        <v>23</v>
      </c>
      <c r="M376" t="s">
        <v>24</v>
      </c>
    </row>
    <row r="377" spans="1:13" x14ac:dyDescent="0.3">
      <c r="A377" s="3" t="s">
        <v>1254</v>
      </c>
      <c r="B377" s="3" t="s">
        <v>124</v>
      </c>
      <c r="C377" s="3" t="s">
        <v>16</v>
      </c>
      <c r="D377" t="s">
        <v>68</v>
      </c>
      <c r="E377" t="s">
        <v>68</v>
      </c>
      <c r="F377" t="s">
        <v>436</v>
      </c>
      <c r="G377" t="s">
        <v>1255</v>
      </c>
      <c r="H377" t="s">
        <v>122</v>
      </c>
      <c r="I377" s="4">
        <v>2.48</v>
      </c>
      <c r="J377" t="s">
        <v>50</v>
      </c>
      <c r="K377" t="s">
        <v>22</v>
      </c>
      <c r="L377" t="s">
        <v>23</v>
      </c>
      <c r="M377" t="s">
        <v>24</v>
      </c>
    </row>
    <row r="378" spans="1:13" x14ac:dyDescent="0.3">
      <c r="A378" s="3" t="s">
        <v>1256</v>
      </c>
      <c r="B378" s="3" t="s">
        <v>67</v>
      </c>
      <c r="C378" s="3" t="s">
        <v>16</v>
      </c>
      <c r="D378" t="s">
        <v>188</v>
      </c>
      <c r="E378" t="s">
        <v>263</v>
      </c>
      <c r="F378" t="s">
        <v>263</v>
      </c>
      <c r="G378" t="s">
        <v>1257</v>
      </c>
      <c r="H378" t="s">
        <v>1258</v>
      </c>
      <c r="I378" s="4">
        <v>3.16</v>
      </c>
      <c r="J378" t="s">
        <v>41</v>
      </c>
      <c r="K378" t="s">
        <v>42</v>
      </c>
      <c r="L378" t="s">
        <v>23</v>
      </c>
      <c r="M378" t="s">
        <v>43</v>
      </c>
    </row>
    <row r="379" spans="1:13" x14ac:dyDescent="0.3">
      <c r="A379" s="3" t="s">
        <v>1259</v>
      </c>
      <c r="B379" s="3" t="s">
        <v>131</v>
      </c>
      <c r="C379" s="3" t="s">
        <v>35</v>
      </c>
      <c r="D379" t="s">
        <v>88</v>
      </c>
      <c r="E379" t="s">
        <v>88</v>
      </c>
      <c r="F379" t="s">
        <v>109</v>
      </c>
      <c r="G379" t="s">
        <v>1260</v>
      </c>
      <c r="H379" t="s">
        <v>1261</v>
      </c>
      <c r="I379" s="4">
        <v>3.25</v>
      </c>
      <c r="J379" t="s">
        <v>50</v>
      </c>
      <c r="K379" t="s">
        <v>22</v>
      </c>
      <c r="L379" t="s">
        <v>23</v>
      </c>
      <c r="M379" t="s">
        <v>24</v>
      </c>
    </row>
    <row r="380" spans="1:13" x14ac:dyDescent="0.3">
      <c r="A380" s="3" t="s">
        <v>1262</v>
      </c>
      <c r="B380" s="3" t="s">
        <v>103</v>
      </c>
      <c r="C380" s="3" t="s">
        <v>16</v>
      </c>
      <c r="D380" t="s">
        <v>188</v>
      </c>
      <c r="E380" t="s">
        <v>189</v>
      </c>
      <c r="F380" t="s">
        <v>190</v>
      </c>
      <c r="G380" t="s">
        <v>1263</v>
      </c>
      <c r="H380" t="s">
        <v>548</v>
      </c>
      <c r="I380" s="4">
        <v>3.35</v>
      </c>
      <c r="J380" t="s">
        <v>21</v>
      </c>
      <c r="K380" t="s">
        <v>22</v>
      </c>
      <c r="L380" t="s">
        <v>23</v>
      </c>
      <c r="M380" t="s">
        <v>32</v>
      </c>
    </row>
    <row r="381" spans="1:13" x14ac:dyDescent="0.3">
      <c r="A381" s="3" t="s">
        <v>1264</v>
      </c>
      <c r="B381" s="3" t="s">
        <v>113</v>
      </c>
      <c r="C381" s="3" t="s">
        <v>35</v>
      </c>
      <c r="D381" t="s">
        <v>114</v>
      </c>
      <c r="E381" t="s">
        <v>115</v>
      </c>
      <c r="F381" t="s">
        <v>229</v>
      </c>
      <c r="G381" t="s">
        <v>1265</v>
      </c>
      <c r="H381" t="s">
        <v>1266</v>
      </c>
      <c r="I381" s="4">
        <v>3.69</v>
      </c>
      <c r="J381" t="s">
        <v>50</v>
      </c>
      <c r="K381" t="s">
        <v>22</v>
      </c>
      <c r="L381" t="s">
        <v>23</v>
      </c>
      <c r="M381" t="s">
        <v>24</v>
      </c>
    </row>
    <row r="382" spans="1:13" x14ac:dyDescent="0.3">
      <c r="A382" s="3" t="s">
        <v>1267</v>
      </c>
      <c r="B382" s="3" t="s">
        <v>113</v>
      </c>
      <c r="C382" s="3" t="s">
        <v>35</v>
      </c>
      <c r="D382" t="s">
        <v>36</v>
      </c>
      <c r="E382" t="s">
        <v>53</v>
      </c>
      <c r="F382" t="s">
        <v>473</v>
      </c>
      <c r="G382" t="s">
        <v>1268</v>
      </c>
      <c r="H382" t="s">
        <v>1221</v>
      </c>
      <c r="I382" s="4">
        <v>2.02</v>
      </c>
      <c r="J382" t="s">
        <v>41</v>
      </c>
      <c r="K382" t="s">
        <v>57</v>
      </c>
      <c r="L382" t="s">
        <v>119</v>
      </c>
      <c r="M382" t="s">
        <v>43</v>
      </c>
    </row>
    <row r="383" spans="1:13" x14ac:dyDescent="0.3">
      <c r="A383" s="3" t="s">
        <v>1269</v>
      </c>
      <c r="B383" s="3" t="s">
        <v>87</v>
      </c>
      <c r="C383" s="3" t="s">
        <v>35</v>
      </c>
      <c r="D383" t="s">
        <v>88</v>
      </c>
      <c r="E383" t="s">
        <v>88</v>
      </c>
      <c r="F383" t="s">
        <v>88</v>
      </c>
      <c r="G383" t="s">
        <v>1270</v>
      </c>
      <c r="H383" t="s">
        <v>1271</v>
      </c>
      <c r="I383" s="4">
        <v>2.68</v>
      </c>
      <c r="J383" t="s">
        <v>50</v>
      </c>
      <c r="K383" t="s">
        <v>22</v>
      </c>
      <c r="L383" t="s">
        <v>23</v>
      </c>
      <c r="M383" t="s">
        <v>24</v>
      </c>
    </row>
    <row r="384" spans="1:13" x14ac:dyDescent="0.3">
      <c r="A384" s="3" t="s">
        <v>1272</v>
      </c>
      <c r="B384" s="3" t="s">
        <v>287</v>
      </c>
      <c r="C384" s="3" t="s">
        <v>35</v>
      </c>
      <c r="D384" t="s">
        <v>45</v>
      </c>
      <c r="E384" t="s">
        <v>138</v>
      </c>
      <c r="F384" t="s">
        <v>138</v>
      </c>
      <c r="G384" t="s">
        <v>1273</v>
      </c>
      <c r="H384" t="s">
        <v>1274</v>
      </c>
      <c r="I384" s="4">
        <v>0.79</v>
      </c>
      <c r="J384" t="s">
        <v>50</v>
      </c>
      <c r="K384" t="s">
        <v>22</v>
      </c>
      <c r="L384" t="s">
        <v>23</v>
      </c>
      <c r="M384" t="s">
        <v>24</v>
      </c>
    </row>
    <row r="385" spans="1:13" x14ac:dyDescent="0.3">
      <c r="A385" s="3" t="s">
        <v>1275</v>
      </c>
      <c r="B385" s="3" t="s">
        <v>113</v>
      </c>
      <c r="C385" s="3" t="s">
        <v>35</v>
      </c>
      <c r="D385" t="s">
        <v>88</v>
      </c>
      <c r="E385" t="s">
        <v>180</v>
      </c>
      <c r="F385" t="s">
        <v>469</v>
      </c>
      <c r="G385" t="s">
        <v>1276</v>
      </c>
      <c r="H385" t="s">
        <v>1277</v>
      </c>
      <c r="I385" s="4">
        <v>1.07</v>
      </c>
      <c r="J385" t="s">
        <v>73</v>
      </c>
      <c r="K385" t="s">
        <v>101</v>
      </c>
      <c r="L385" t="s">
        <v>23</v>
      </c>
      <c r="M385" t="s">
        <v>43</v>
      </c>
    </row>
    <row r="386" spans="1:13" x14ac:dyDescent="0.3">
      <c r="A386" s="3" t="s">
        <v>1278</v>
      </c>
      <c r="B386" s="3" t="s">
        <v>15</v>
      </c>
      <c r="C386" s="3" t="s">
        <v>16</v>
      </c>
      <c r="D386" t="s">
        <v>75</v>
      </c>
      <c r="E386" t="s">
        <v>76</v>
      </c>
      <c r="F386" t="s">
        <v>440</v>
      </c>
      <c r="G386" t="s">
        <v>1279</v>
      </c>
      <c r="H386" t="s">
        <v>1280</v>
      </c>
      <c r="I386" s="4">
        <v>4.55</v>
      </c>
      <c r="J386" t="s">
        <v>41</v>
      </c>
      <c r="K386" t="s">
        <v>57</v>
      </c>
      <c r="L386" t="s">
        <v>23</v>
      </c>
      <c r="M386" t="s">
        <v>43</v>
      </c>
    </row>
    <row r="387" spans="1:13" x14ac:dyDescent="0.3">
      <c r="A387" s="3" t="s">
        <v>1281</v>
      </c>
      <c r="B387" s="3" t="s">
        <v>63</v>
      </c>
      <c r="C387" s="3" t="s">
        <v>35</v>
      </c>
      <c r="D387" t="s">
        <v>114</v>
      </c>
      <c r="E387" t="s">
        <v>150</v>
      </c>
      <c r="F387" t="s">
        <v>151</v>
      </c>
      <c r="G387" t="s">
        <v>1282</v>
      </c>
      <c r="H387" t="s">
        <v>291</v>
      </c>
      <c r="I387" s="4">
        <v>2.74</v>
      </c>
      <c r="J387" t="s">
        <v>73</v>
      </c>
      <c r="K387" t="s">
        <v>57</v>
      </c>
      <c r="L387" t="s">
        <v>23</v>
      </c>
      <c r="M387" t="s">
        <v>43</v>
      </c>
    </row>
    <row r="388" spans="1:13" x14ac:dyDescent="0.3">
      <c r="A388" s="3" t="s">
        <v>1283</v>
      </c>
      <c r="B388" s="3" t="s">
        <v>87</v>
      </c>
      <c r="C388" s="3" t="s">
        <v>35</v>
      </c>
      <c r="D388" t="s">
        <v>36</v>
      </c>
      <c r="E388" t="s">
        <v>53</v>
      </c>
      <c r="F388" t="s">
        <v>808</v>
      </c>
      <c r="G388" t="s">
        <v>1284</v>
      </c>
      <c r="H388" t="s">
        <v>1285</v>
      </c>
      <c r="I388" s="4">
        <v>1.18</v>
      </c>
      <c r="J388" t="s">
        <v>41</v>
      </c>
      <c r="K388" t="s">
        <v>42</v>
      </c>
      <c r="L388" t="s">
        <v>23</v>
      </c>
      <c r="M388" t="s">
        <v>43</v>
      </c>
    </row>
    <row r="389" spans="1:13" x14ac:dyDescent="0.3">
      <c r="A389" s="3" t="s">
        <v>1286</v>
      </c>
      <c r="B389" s="3" t="s">
        <v>67</v>
      </c>
      <c r="C389" s="3" t="s">
        <v>16</v>
      </c>
      <c r="D389" t="s">
        <v>68</v>
      </c>
      <c r="E389" t="s">
        <v>69</v>
      </c>
      <c r="F389" t="s">
        <v>1287</v>
      </c>
      <c r="G389" t="s">
        <v>1288</v>
      </c>
      <c r="H389" t="s">
        <v>1289</v>
      </c>
      <c r="I389" s="4">
        <v>4.83</v>
      </c>
      <c r="J389" t="s">
        <v>21</v>
      </c>
      <c r="K389" t="s">
        <v>101</v>
      </c>
      <c r="L389" t="s">
        <v>23</v>
      </c>
      <c r="M389" t="s">
        <v>32</v>
      </c>
    </row>
    <row r="390" spans="1:13" x14ac:dyDescent="0.3">
      <c r="A390" s="3" t="s">
        <v>1290</v>
      </c>
      <c r="B390" s="3" t="s">
        <v>131</v>
      </c>
      <c r="C390" s="3" t="s">
        <v>35</v>
      </c>
      <c r="D390" t="s">
        <v>88</v>
      </c>
      <c r="E390" t="s">
        <v>89</v>
      </c>
      <c r="F390" t="s">
        <v>94</v>
      </c>
      <c r="G390" t="s">
        <v>1291</v>
      </c>
      <c r="H390" t="s">
        <v>1292</v>
      </c>
      <c r="I390" s="4">
        <v>2.35</v>
      </c>
      <c r="J390" t="s">
        <v>50</v>
      </c>
      <c r="K390" t="s">
        <v>22</v>
      </c>
      <c r="L390" t="s">
        <v>23</v>
      </c>
      <c r="M390" t="s">
        <v>24</v>
      </c>
    </row>
    <row r="391" spans="1:13" x14ac:dyDescent="0.3">
      <c r="A391" s="3" t="s">
        <v>1293</v>
      </c>
      <c r="B391" s="3" t="s">
        <v>15</v>
      </c>
      <c r="C391" s="3" t="s">
        <v>16</v>
      </c>
      <c r="D391" t="s">
        <v>75</v>
      </c>
      <c r="E391" t="s">
        <v>251</v>
      </c>
      <c r="F391" t="s">
        <v>975</v>
      </c>
      <c r="G391" t="s">
        <v>1294</v>
      </c>
      <c r="H391" t="s">
        <v>1154</v>
      </c>
      <c r="I391" s="4">
        <v>2.75</v>
      </c>
      <c r="J391" t="s">
        <v>41</v>
      </c>
      <c r="K391" t="s">
        <v>42</v>
      </c>
      <c r="L391" t="s">
        <v>23</v>
      </c>
      <c r="M391" t="s">
        <v>85</v>
      </c>
    </row>
    <row r="392" spans="1:13" x14ac:dyDescent="0.3">
      <c r="A392" s="3" t="s">
        <v>1295</v>
      </c>
      <c r="B392" s="3" t="s">
        <v>287</v>
      </c>
      <c r="C392" s="3" t="s">
        <v>35</v>
      </c>
      <c r="D392" t="s">
        <v>114</v>
      </c>
      <c r="E392" t="s">
        <v>150</v>
      </c>
      <c r="F392" t="s">
        <v>302</v>
      </c>
      <c r="G392" t="s">
        <v>1296</v>
      </c>
      <c r="H392" t="s">
        <v>1297</v>
      </c>
      <c r="I392" s="4">
        <v>1.1100000000000001</v>
      </c>
      <c r="J392" t="s">
        <v>41</v>
      </c>
      <c r="K392" t="s">
        <v>57</v>
      </c>
      <c r="L392" t="s">
        <v>119</v>
      </c>
      <c r="M392" t="s">
        <v>43</v>
      </c>
    </row>
    <row r="393" spans="1:13" x14ac:dyDescent="0.3">
      <c r="A393" s="3" t="s">
        <v>1298</v>
      </c>
      <c r="B393" s="3" t="s">
        <v>67</v>
      </c>
      <c r="C393" s="3" t="s">
        <v>16</v>
      </c>
      <c r="D393" t="s">
        <v>75</v>
      </c>
      <c r="E393" t="s">
        <v>75</v>
      </c>
      <c r="F393" t="s">
        <v>649</v>
      </c>
      <c r="G393" t="s">
        <v>1299</v>
      </c>
      <c r="H393" t="s">
        <v>1300</v>
      </c>
      <c r="I393" s="4">
        <v>1.25</v>
      </c>
      <c r="J393" t="s">
        <v>73</v>
      </c>
      <c r="K393" t="s">
        <v>57</v>
      </c>
      <c r="L393" t="s">
        <v>23</v>
      </c>
      <c r="M393" t="s">
        <v>32</v>
      </c>
    </row>
    <row r="394" spans="1:13" x14ac:dyDescent="0.3">
      <c r="A394" s="3" t="s">
        <v>1301</v>
      </c>
      <c r="B394" s="3" t="s">
        <v>87</v>
      </c>
      <c r="C394" s="3" t="s">
        <v>35</v>
      </c>
      <c r="D394" t="s">
        <v>88</v>
      </c>
      <c r="E394" t="s">
        <v>89</v>
      </c>
      <c r="F394" t="s">
        <v>332</v>
      </c>
      <c r="G394" t="s">
        <v>1302</v>
      </c>
      <c r="H394" t="s">
        <v>1303</v>
      </c>
      <c r="I394" s="4">
        <v>0.93</v>
      </c>
      <c r="J394" t="s">
        <v>41</v>
      </c>
      <c r="K394" t="s">
        <v>57</v>
      </c>
      <c r="L394" t="s">
        <v>119</v>
      </c>
      <c r="M394" t="s">
        <v>43</v>
      </c>
    </row>
    <row r="395" spans="1:13" x14ac:dyDescent="0.3">
      <c r="A395" s="3" t="s">
        <v>1304</v>
      </c>
      <c r="B395" s="3" t="s">
        <v>15</v>
      </c>
      <c r="C395" s="3" t="s">
        <v>16</v>
      </c>
      <c r="D395" t="s">
        <v>104</v>
      </c>
      <c r="E395" t="s">
        <v>274</v>
      </c>
      <c r="F395" t="s">
        <v>440</v>
      </c>
      <c r="G395" t="s">
        <v>1305</v>
      </c>
      <c r="H395" t="s">
        <v>704</v>
      </c>
      <c r="I395" s="4">
        <v>1.33</v>
      </c>
      <c r="J395" t="s">
        <v>73</v>
      </c>
      <c r="K395" t="s">
        <v>101</v>
      </c>
      <c r="L395" t="s">
        <v>23</v>
      </c>
      <c r="M395" t="s">
        <v>32</v>
      </c>
    </row>
    <row r="396" spans="1:13" x14ac:dyDescent="0.3">
      <c r="A396" s="3" t="s">
        <v>1306</v>
      </c>
      <c r="B396" s="3" t="s">
        <v>67</v>
      </c>
      <c r="C396" s="3" t="s">
        <v>16</v>
      </c>
      <c r="D396" t="s">
        <v>104</v>
      </c>
      <c r="E396" t="s">
        <v>105</v>
      </c>
      <c r="F396" t="s">
        <v>105</v>
      </c>
      <c r="G396" t="s">
        <v>1307</v>
      </c>
      <c r="H396" t="s">
        <v>1308</v>
      </c>
      <c r="I396" s="4">
        <v>3.07</v>
      </c>
      <c r="J396" t="s">
        <v>21</v>
      </c>
      <c r="K396" t="s">
        <v>22</v>
      </c>
      <c r="L396" t="s">
        <v>23</v>
      </c>
      <c r="M396" t="s">
        <v>24</v>
      </c>
    </row>
    <row r="397" spans="1:13" x14ac:dyDescent="0.3">
      <c r="A397" s="3" t="s">
        <v>1309</v>
      </c>
      <c r="B397" s="3" t="s">
        <v>124</v>
      </c>
      <c r="C397" s="3" t="s">
        <v>16</v>
      </c>
      <c r="D397" t="s">
        <v>75</v>
      </c>
      <c r="E397" t="s">
        <v>76</v>
      </c>
      <c r="F397" t="s">
        <v>833</v>
      </c>
      <c r="G397" t="s">
        <v>1310</v>
      </c>
      <c r="H397" t="s">
        <v>364</v>
      </c>
      <c r="I397" s="4">
        <v>3.26</v>
      </c>
      <c r="J397" t="s">
        <v>41</v>
      </c>
      <c r="K397" t="s">
        <v>42</v>
      </c>
      <c r="L397" t="s">
        <v>23</v>
      </c>
      <c r="M397" t="s">
        <v>85</v>
      </c>
    </row>
    <row r="398" spans="1:13" x14ac:dyDescent="0.3">
      <c r="A398" s="3" t="s">
        <v>1311</v>
      </c>
      <c r="B398" s="3" t="s">
        <v>52</v>
      </c>
      <c r="C398" s="3" t="s">
        <v>35</v>
      </c>
      <c r="D398" t="s">
        <v>45</v>
      </c>
      <c r="E398" t="s">
        <v>138</v>
      </c>
      <c r="F398" t="s">
        <v>139</v>
      </c>
      <c r="G398" t="s">
        <v>1312</v>
      </c>
      <c r="H398" t="s">
        <v>1313</v>
      </c>
      <c r="I398" s="4">
        <v>1.85</v>
      </c>
      <c r="J398" t="s">
        <v>21</v>
      </c>
      <c r="K398" t="s">
        <v>101</v>
      </c>
      <c r="L398" t="s">
        <v>23</v>
      </c>
      <c r="M398" t="s">
        <v>24</v>
      </c>
    </row>
    <row r="399" spans="1:13" x14ac:dyDescent="0.3">
      <c r="A399" s="3" t="s">
        <v>1314</v>
      </c>
      <c r="B399" s="3" t="s">
        <v>287</v>
      </c>
      <c r="C399" s="3" t="s">
        <v>35</v>
      </c>
      <c r="D399" t="s">
        <v>88</v>
      </c>
      <c r="E399" t="s">
        <v>180</v>
      </c>
      <c r="F399" t="s">
        <v>181</v>
      </c>
      <c r="G399" t="s">
        <v>1315</v>
      </c>
      <c r="H399" t="s">
        <v>1316</v>
      </c>
      <c r="I399" s="4">
        <v>1.1299999999999999</v>
      </c>
      <c r="J399" t="s">
        <v>73</v>
      </c>
      <c r="K399" t="s">
        <v>42</v>
      </c>
      <c r="L399" t="s">
        <v>23</v>
      </c>
      <c r="M399" t="s">
        <v>32</v>
      </c>
    </row>
    <row r="400" spans="1:13" x14ac:dyDescent="0.3">
      <c r="A400" s="3" t="s">
        <v>1317</v>
      </c>
      <c r="B400" s="3" t="s">
        <v>158</v>
      </c>
      <c r="C400" s="3" t="s">
        <v>16</v>
      </c>
      <c r="D400" t="s">
        <v>17</v>
      </c>
      <c r="E400" t="s">
        <v>81</v>
      </c>
      <c r="F400" t="s">
        <v>159</v>
      </c>
      <c r="G400" t="s">
        <v>1318</v>
      </c>
      <c r="H400" t="s">
        <v>327</v>
      </c>
      <c r="I400" s="4">
        <v>4.84</v>
      </c>
      <c r="J400" t="s">
        <v>73</v>
      </c>
      <c r="K400" t="s">
        <v>42</v>
      </c>
      <c r="L400" t="s">
        <v>23</v>
      </c>
      <c r="M400" t="s">
        <v>32</v>
      </c>
    </row>
    <row r="401" spans="1:14" x14ac:dyDescent="0.3">
      <c r="A401" s="3" t="s">
        <v>1319</v>
      </c>
      <c r="B401" s="3" t="s">
        <v>113</v>
      </c>
      <c r="C401" s="3" t="s">
        <v>35</v>
      </c>
      <c r="D401" t="s">
        <v>167</v>
      </c>
      <c r="E401" t="s">
        <v>168</v>
      </c>
      <c r="F401" t="s">
        <v>463</v>
      </c>
      <c r="G401" t="s">
        <v>1320</v>
      </c>
      <c r="H401" t="s">
        <v>1321</v>
      </c>
      <c r="I401" s="4">
        <v>3.07</v>
      </c>
      <c r="J401" t="s">
        <v>21</v>
      </c>
      <c r="K401" t="s">
        <v>101</v>
      </c>
      <c r="L401" t="s">
        <v>23</v>
      </c>
      <c r="M401" t="s">
        <v>24</v>
      </c>
    </row>
    <row r="402" spans="1:14" x14ac:dyDescent="0.3">
      <c r="A402" s="3" t="s">
        <v>1322</v>
      </c>
      <c r="B402" s="3" t="s">
        <v>158</v>
      </c>
      <c r="C402" s="3" t="s">
        <v>16</v>
      </c>
      <c r="D402" t="s">
        <v>104</v>
      </c>
      <c r="E402" t="s">
        <v>105</v>
      </c>
      <c r="F402" t="s">
        <v>1323</v>
      </c>
      <c r="G402" t="s">
        <v>1324</v>
      </c>
      <c r="H402" t="s">
        <v>1325</v>
      </c>
      <c r="I402" s="4">
        <v>4.45</v>
      </c>
      <c r="J402" t="s">
        <v>41</v>
      </c>
      <c r="K402" t="s">
        <v>57</v>
      </c>
      <c r="L402" t="s">
        <v>23</v>
      </c>
      <c r="M402" t="s">
        <v>43</v>
      </c>
    </row>
    <row r="403" spans="1:14" x14ac:dyDescent="0.3">
      <c r="A403" s="3" t="s">
        <v>1326</v>
      </c>
      <c r="B403" s="3" t="s">
        <v>67</v>
      </c>
      <c r="C403" s="3" t="s">
        <v>16</v>
      </c>
      <c r="D403" t="s">
        <v>75</v>
      </c>
      <c r="E403" t="s">
        <v>76</v>
      </c>
      <c r="F403" t="s">
        <v>440</v>
      </c>
      <c r="G403" t="s">
        <v>677</v>
      </c>
      <c r="H403" t="s">
        <v>265</v>
      </c>
      <c r="I403" s="4">
        <v>1.63</v>
      </c>
      <c r="J403" t="s">
        <v>41</v>
      </c>
      <c r="K403" t="s">
        <v>57</v>
      </c>
      <c r="L403" t="s">
        <v>119</v>
      </c>
      <c r="M403" t="s">
        <v>43</v>
      </c>
    </row>
    <row r="404" spans="1:14" x14ac:dyDescent="0.3">
      <c r="A404" s="3" t="s">
        <v>1327</v>
      </c>
      <c r="B404" s="3" t="s">
        <v>194</v>
      </c>
      <c r="C404" s="3" t="s">
        <v>35</v>
      </c>
      <c r="D404" t="s">
        <v>45</v>
      </c>
      <c r="E404" t="s">
        <v>138</v>
      </c>
      <c r="F404" t="s">
        <v>553</v>
      </c>
      <c r="G404" t="s">
        <v>1328</v>
      </c>
      <c r="H404" t="s">
        <v>991</v>
      </c>
      <c r="I404" s="4">
        <v>4.37</v>
      </c>
      <c r="J404" t="s">
        <v>41</v>
      </c>
      <c r="K404" t="s">
        <v>57</v>
      </c>
      <c r="L404" t="s">
        <v>23</v>
      </c>
      <c r="M404" t="s">
        <v>85</v>
      </c>
    </row>
    <row r="405" spans="1:14" x14ac:dyDescent="0.3">
      <c r="A405" s="3" t="s">
        <v>1329</v>
      </c>
      <c r="B405" s="3" t="s">
        <v>26</v>
      </c>
      <c r="C405" s="3" t="s">
        <v>16</v>
      </c>
      <c r="D405" t="s">
        <v>104</v>
      </c>
      <c r="E405" t="s">
        <v>274</v>
      </c>
      <c r="F405" t="s">
        <v>274</v>
      </c>
      <c r="G405" t="s">
        <v>1330</v>
      </c>
      <c r="H405" t="s">
        <v>1331</v>
      </c>
      <c r="I405" s="4">
        <v>4.42</v>
      </c>
      <c r="J405" t="s">
        <v>21</v>
      </c>
      <c r="K405" t="s">
        <v>22</v>
      </c>
      <c r="L405" t="s">
        <v>23</v>
      </c>
      <c r="M405" t="s">
        <v>24</v>
      </c>
    </row>
    <row r="406" spans="1:14" x14ac:dyDescent="0.3">
      <c r="A406" s="3" t="s">
        <v>1332</v>
      </c>
      <c r="B406" s="3" t="s">
        <v>80</v>
      </c>
      <c r="C406" s="3" t="s">
        <v>16</v>
      </c>
      <c r="D406" t="s">
        <v>17</v>
      </c>
      <c r="E406" t="s">
        <v>81</v>
      </c>
      <c r="F406" t="s">
        <v>81</v>
      </c>
      <c r="G406" t="s">
        <v>1333</v>
      </c>
      <c r="H406" t="s">
        <v>937</v>
      </c>
      <c r="I406" s="4">
        <v>3.66</v>
      </c>
      <c r="J406" t="s">
        <v>41</v>
      </c>
      <c r="K406" t="s">
        <v>57</v>
      </c>
      <c r="L406" t="s">
        <v>119</v>
      </c>
      <c r="M406" t="s">
        <v>85</v>
      </c>
      <c r="N406" s="1">
        <v>45343</v>
      </c>
    </row>
    <row r="407" spans="1:14" x14ac:dyDescent="0.3">
      <c r="A407" s="3" t="s">
        <v>1334</v>
      </c>
      <c r="B407" s="3" t="s">
        <v>26</v>
      </c>
      <c r="C407" s="3" t="s">
        <v>16</v>
      </c>
      <c r="D407" t="s">
        <v>188</v>
      </c>
      <c r="E407" t="s">
        <v>188</v>
      </c>
      <c r="F407" t="s">
        <v>476</v>
      </c>
      <c r="G407" t="s">
        <v>1335</v>
      </c>
      <c r="H407" t="s">
        <v>1336</v>
      </c>
      <c r="I407" s="4">
        <v>1.03</v>
      </c>
      <c r="J407" t="s">
        <v>41</v>
      </c>
      <c r="K407" t="s">
        <v>42</v>
      </c>
      <c r="L407" t="s">
        <v>23</v>
      </c>
      <c r="M407" t="s">
        <v>85</v>
      </c>
    </row>
    <row r="408" spans="1:14" x14ac:dyDescent="0.3">
      <c r="A408" s="3" t="s">
        <v>1337</v>
      </c>
      <c r="B408" s="3" t="s">
        <v>63</v>
      </c>
      <c r="C408" s="3" t="s">
        <v>35</v>
      </c>
      <c r="D408" t="s">
        <v>88</v>
      </c>
      <c r="E408" t="s">
        <v>88</v>
      </c>
      <c r="F408" t="s">
        <v>109</v>
      </c>
      <c r="G408" t="s">
        <v>1338</v>
      </c>
      <c r="H408" t="s">
        <v>1339</v>
      </c>
      <c r="I408" s="4">
        <v>3.86</v>
      </c>
      <c r="J408" t="s">
        <v>41</v>
      </c>
      <c r="K408" t="s">
        <v>57</v>
      </c>
      <c r="L408" t="s">
        <v>119</v>
      </c>
      <c r="M408" t="s">
        <v>43</v>
      </c>
    </row>
    <row r="409" spans="1:14" x14ac:dyDescent="0.3">
      <c r="A409" s="3" t="s">
        <v>1340</v>
      </c>
      <c r="B409" s="3" t="s">
        <v>34</v>
      </c>
      <c r="C409" s="3" t="s">
        <v>35</v>
      </c>
      <c r="D409" t="s">
        <v>114</v>
      </c>
      <c r="E409" t="s">
        <v>279</v>
      </c>
      <c r="F409" t="s">
        <v>280</v>
      </c>
      <c r="G409" t="s">
        <v>1341</v>
      </c>
      <c r="H409" t="s">
        <v>950</v>
      </c>
      <c r="I409" s="4">
        <v>3.99</v>
      </c>
      <c r="J409" t="s">
        <v>21</v>
      </c>
      <c r="K409" t="s">
        <v>101</v>
      </c>
      <c r="L409" t="s">
        <v>23</v>
      </c>
      <c r="M409" t="s">
        <v>24</v>
      </c>
    </row>
    <row r="410" spans="1:14" x14ac:dyDescent="0.3">
      <c r="A410" s="3" t="s">
        <v>1342</v>
      </c>
      <c r="B410" s="3" t="s">
        <v>63</v>
      </c>
      <c r="C410" s="3" t="s">
        <v>35</v>
      </c>
      <c r="D410" t="s">
        <v>36</v>
      </c>
      <c r="E410" t="s">
        <v>175</v>
      </c>
      <c r="F410" t="s">
        <v>505</v>
      </c>
      <c r="G410" t="s">
        <v>1343</v>
      </c>
      <c r="H410" t="s">
        <v>1344</v>
      </c>
      <c r="I410" s="4">
        <v>3.27</v>
      </c>
      <c r="J410" t="s">
        <v>41</v>
      </c>
      <c r="K410" t="s">
        <v>57</v>
      </c>
      <c r="L410" t="s">
        <v>23</v>
      </c>
      <c r="M410" t="s">
        <v>43</v>
      </c>
    </row>
    <row r="411" spans="1:14" x14ac:dyDescent="0.3">
      <c r="A411" s="3" t="s">
        <v>1345</v>
      </c>
      <c r="B411" s="3" t="s">
        <v>124</v>
      </c>
      <c r="C411" s="3" t="s">
        <v>16</v>
      </c>
      <c r="D411" t="s">
        <v>188</v>
      </c>
      <c r="E411" t="s">
        <v>189</v>
      </c>
      <c r="F411" t="s">
        <v>189</v>
      </c>
      <c r="G411" t="s">
        <v>1346</v>
      </c>
      <c r="H411" t="s">
        <v>737</v>
      </c>
      <c r="I411" s="4">
        <v>0.56999999999999995</v>
      </c>
      <c r="J411" t="s">
        <v>50</v>
      </c>
      <c r="K411" t="s">
        <v>22</v>
      </c>
      <c r="L411" t="s">
        <v>23</v>
      </c>
      <c r="M411" t="s">
        <v>24</v>
      </c>
    </row>
    <row r="412" spans="1:14" x14ac:dyDescent="0.3">
      <c r="A412" s="3" t="s">
        <v>1347</v>
      </c>
      <c r="B412" s="3" t="s">
        <v>80</v>
      </c>
      <c r="C412" s="3" t="s">
        <v>16</v>
      </c>
      <c r="D412" t="s">
        <v>104</v>
      </c>
      <c r="E412" t="s">
        <v>104</v>
      </c>
      <c r="F412" t="s">
        <v>105</v>
      </c>
      <c r="G412" t="s">
        <v>1348</v>
      </c>
      <c r="H412" t="s">
        <v>1349</v>
      </c>
      <c r="I412" s="4">
        <v>1.26</v>
      </c>
      <c r="J412" t="s">
        <v>73</v>
      </c>
      <c r="K412" t="s">
        <v>57</v>
      </c>
      <c r="L412" t="s">
        <v>23</v>
      </c>
      <c r="M412" t="s">
        <v>32</v>
      </c>
    </row>
    <row r="413" spans="1:14" x14ac:dyDescent="0.3">
      <c r="A413" s="3" t="s">
        <v>1350</v>
      </c>
      <c r="B413" s="3" t="s">
        <v>194</v>
      </c>
      <c r="C413" s="3" t="s">
        <v>35</v>
      </c>
      <c r="D413" t="s">
        <v>45</v>
      </c>
      <c r="E413" t="s">
        <v>138</v>
      </c>
      <c r="F413" t="s">
        <v>139</v>
      </c>
      <c r="G413" t="s">
        <v>1351</v>
      </c>
      <c r="H413" t="s">
        <v>1209</v>
      </c>
      <c r="I413" s="4">
        <v>0.86</v>
      </c>
      <c r="J413" t="s">
        <v>50</v>
      </c>
      <c r="K413" t="s">
        <v>22</v>
      </c>
      <c r="L413" t="s">
        <v>23</v>
      </c>
      <c r="M413" t="s">
        <v>24</v>
      </c>
    </row>
    <row r="414" spans="1:14" x14ac:dyDescent="0.3">
      <c r="A414" s="3" t="s">
        <v>1352</v>
      </c>
      <c r="B414" s="3" t="s">
        <v>63</v>
      </c>
      <c r="C414" s="3" t="s">
        <v>35</v>
      </c>
      <c r="D414" t="s">
        <v>114</v>
      </c>
      <c r="E414" t="s">
        <v>279</v>
      </c>
      <c r="F414" t="s">
        <v>729</v>
      </c>
      <c r="G414" t="s">
        <v>1353</v>
      </c>
      <c r="H414" t="s">
        <v>776</v>
      </c>
      <c r="I414" s="4">
        <v>1.51</v>
      </c>
      <c r="J414" t="s">
        <v>73</v>
      </c>
      <c r="K414" t="s">
        <v>101</v>
      </c>
      <c r="L414" t="s">
        <v>23</v>
      </c>
      <c r="M414" t="s">
        <v>43</v>
      </c>
    </row>
    <row r="415" spans="1:14" x14ac:dyDescent="0.3">
      <c r="A415" s="3" t="s">
        <v>1354</v>
      </c>
      <c r="B415" s="3" t="s">
        <v>52</v>
      </c>
      <c r="C415" s="3" t="s">
        <v>35</v>
      </c>
      <c r="D415" t="s">
        <v>167</v>
      </c>
      <c r="E415" t="s">
        <v>350</v>
      </c>
      <c r="F415" t="s">
        <v>863</v>
      </c>
      <c r="G415" t="s">
        <v>1355</v>
      </c>
      <c r="H415" t="s">
        <v>1356</v>
      </c>
      <c r="I415" s="4">
        <v>3.93</v>
      </c>
      <c r="J415" t="s">
        <v>21</v>
      </c>
      <c r="K415" t="s">
        <v>101</v>
      </c>
      <c r="L415" t="s">
        <v>23</v>
      </c>
      <c r="M415" t="s">
        <v>32</v>
      </c>
    </row>
    <row r="416" spans="1:14" x14ac:dyDescent="0.3">
      <c r="A416" s="3" t="s">
        <v>1357</v>
      </c>
      <c r="B416" s="3" t="s">
        <v>158</v>
      </c>
      <c r="C416" s="3" t="s">
        <v>16</v>
      </c>
      <c r="D416" t="s">
        <v>68</v>
      </c>
      <c r="E416" t="s">
        <v>68</v>
      </c>
      <c r="F416" t="s">
        <v>68</v>
      </c>
      <c r="G416" t="s">
        <v>1358</v>
      </c>
      <c r="H416" t="s">
        <v>235</v>
      </c>
      <c r="I416" s="4">
        <v>4.22</v>
      </c>
      <c r="J416" t="s">
        <v>50</v>
      </c>
      <c r="K416" t="s">
        <v>22</v>
      </c>
      <c r="L416" t="s">
        <v>23</v>
      </c>
      <c r="M416" t="s">
        <v>24</v>
      </c>
    </row>
    <row r="417" spans="1:14" x14ac:dyDescent="0.3">
      <c r="A417" s="3" t="s">
        <v>1359</v>
      </c>
      <c r="B417" s="3" t="s">
        <v>103</v>
      </c>
      <c r="C417" s="3" t="s">
        <v>16</v>
      </c>
      <c r="D417" t="s">
        <v>188</v>
      </c>
      <c r="E417" t="s">
        <v>189</v>
      </c>
      <c r="F417" t="s">
        <v>190</v>
      </c>
      <c r="G417" t="s">
        <v>1360</v>
      </c>
      <c r="H417" t="s">
        <v>1169</v>
      </c>
      <c r="I417" s="4">
        <v>1.95</v>
      </c>
      <c r="J417" t="s">
        <v>41</v>
      </c>
      <c r="K417" t="s">
        <v>42</v>
      </c>
      <c r="L417" t="s">
        <v>119</v>
      </c>
      <c r="M417" t="s">
        <v>43</v>
      </c>
    </row>
    <row r="418" spans="1:14" x14ac:dyDescent="0.3">
      <c r="A418" s="3" t="s">
        <v>1361</v>
      </c>
      <c r="B418" s="3" t="s">
        <v>194</v>
      </c>
      <c r="C418" s="3" t="s">
        <v>35</v>
      </c>
      <c r="D418" t="s">
        <v>114</v>
      </c>
      <c r="E418" t="s">
        <v>279</v>
      </c>
      <c r="F418" t="s">
        <v>280</v>
      </c>
      <c r="G418" t="s">
        <v>1362</v>
      </c>
      <c r="H418" t="s">
        <v>1363</v>
      </c>
      <c r="I418" s="4">
        <v>1.59</v>
      </c>
      <c r="J418" t="s">
        <v>73</v>
      </c>
      <c r="K418" t="s">
        <v>57</v>
      </c>
      <c r="L418" t="s">
        <v>23</v>
      </c>
      <c r="M418" t="s">
        <v>43</v>
      </c>
    </row>
    <row r="419" spans="1:14" x14ac:dyDescent="0.3">
      <c r="A419" s="3" t="s">
        <v>1364</v>
      </c>
      <c r="B419" s="3" t="s">
        <v>34</v>
      </c>
      <c r="C419" s="3" t="s">
        <v>35</v>
      </c>
      <c r="D419" t="s">
        <v>36</v>
      </c>
      <c r="E419" t="s">
        <v>37</v>
      </c>
      <c r="F419" t="s">
        <v>611</v>
      </c>
      <c r="G419" t="s">
        <v>1365</v>
      </c>
      <c r="H419" t="s">
        <v>1366</v>
      </c>
      <c r="I419" s="4">
        <v>3.6</v>
      </c>
      <c r="J419" t="s">
        <v>41</v>
      </c>
      <c r="K419" t="s">
        <v>57</v>
      </c>
      <c r="L419" t="s">
        <v>23</v>
      </c>
      <c r="M419" t="s">
        <v>43</v>
      </c>
    </row>
    <row r="420" spans="1:14" x14ac:dyDescent="0.3">
      <c r="A420" s="3" t="s">
        <v>1367</v>
      </c>
      <c r="B420" s="3" t="s">
        <v>194</v>
      </c>
      <c r="C420" s="3" t="s">
        <v>35</v>
      </c>
      <c r="D420" t="s">
        <v>36</v>
      </c>
      <c r="E420" t="s">
        <v>175</v>
      </c>
      <c r="F420" t="s">
        <v>505</v>
      </c>
      <c r="G420" t="s">
        <v>1368</v>
      </c>
      <c r="H420" t="s">
        <v>1369</v>
      </c>
      <c r="I420" s="4">
        <v>1.75</v>
      </c>
      <c r="J420" t="s">
        <v>41</v>
      </c>
      <c r="K420" t="s">
        <v>42</v>
      </c>
      <c r="L420" t="s">
        <v>119</v>
      </c>
      <c r="M420" t="s">
        <v>85</v>
      </c>
      <c r="N420" s="1">
        <v>44720</v>
      </c>
    </row>
    <row r="421" spans="1:14" x14ac:dyDescent="0.3">
      <c r="A421" s="3" t="s">
        <v>1370</v>
      </c>
      <c r="B421" s="3" t="s">
        <v>63</v>
      </c>
      <c r="C421" s="3" t="s">
        <v>35</v>
      </c>
      <c r="D421" t="s">
        <v>45</v>
      </c>
      <c r="E421" t="s">
        <v>138</v>
      </c>
      <c r="F421" t="s">
        <v>355</v>
      </c>
      <c r="G421" t="s">
        <v>1371</v>
      </c>
      <c r="H421" t="s">
        <v>1372</v>
      </c>
      <c r="I421" s="4">
        <v>0.8</v>
      </c>
      <c r="J421" t="s">
        <v>73</v>
      </c>
      <c r="K421" t="s">
        <v>101</v>
      </c>
      <c r="L421" t="s">
        <v>23</v>
      </c>
      <c r="M421" t="s">
        <v>32</v>
      </c>
    </row>
    <row r="422" spans="1:14" x14ac:dyDescent="0.3">
      <c r="A422" s="3" t="s">
        <v>1373</v>
      </c>
      <c r="B422" s="3" t="s">
        <v>287</v>
      </c>
      <c r="C422" s="3" t="s">
        <v>35</v>
      </c>
      <c r="D422" t="s">
        <v>45</v>
      </c>
      <c r="E422" t="s">
        <v>138</v>
      </c>
      <c r="F422" t="s">
        <v>355</v>
      </c>
      <c r="G422" t="s">
        <v>1374</v>
      </c>
      <c r="H422" t="s">
        <v>1375</v>
      </c>
      <c r="I422" s="4">
        <v>0.62</v>
      </c>
      <c r="J422" t="s">
        <v>73</v>
      </c>
      <c r="K422" t="s">
        <v>42</v>
      </c>
      <c r="L422" t="s">
        <v>23</v>
      </c>
      <c r="M422" t="s">
        <v>32</v>
      </c>
    </row>
    <row r="423" spans="1:14" x14ac:dyDescent="0.3">
      <c r="A423" s="3" t="s">
        <v>1376</v>
      </c>
      <c r="B423" s="3" t="s">
        <v>287</v>
      </c>
      <c r="C423" s="3" t="s">
        <v>35</v>
      </c>
      <c r="D423" t="s">
        <v>36</v>
      </c>
      <c r="E423" t="s">
        <v>175</v>
      </c>
      <c r="F423" t="s">
        <v>505</v>
      </c>
      <c r="G423" t="s">
        <v>1377</v>
      </c>
      <c r="H423" t="s">
        <v>1378</v>
      </c>
      <c r="I423" s="4">
        <v>2.4</v>
      </c>
      <c r="J423" t="s">
        <v>21</v>
      </c>
      <c r="K423" t="s">
        <v>22</v>
      </c>
      <c r="L423" t="s">
        <v>23</v>
      </c>
      <c r="M423" t="s">
        <v>32</v>
      </c>
    </row>
    <row r="424" spans="1:14" x14ac:dyDescent="0.3">
      <c r="A424" s="3" t="s">
        <v>1379</v>
      </c>
      <c r="B424" s="3" t="s">
        <v>15</v>
      </c>
      <c r="C424" s="3" t="s">
        <v>16</v>
      </c>
      <c r="D424" t="s">
        <v>27</v>
      </c>
      <c r="E424" t="s">
        <v>27</v>
      </c>
      <c r="F424" t="s">
        <v>1380</v>
      </c>
      <c r="G424" t="s">
        <v>1381</v>
      </c>
      <c r="H424" t="s">
        <v>1382</v>
      </c>
      <c r="I424" s="4">
        <v>4.24</v>
      </c>
      <c r="J424" t="s">
        <v>21</v>
      </c>
      <c r="K424" t="s">
        <v>101</v>
      </c>
      <c r="L424" t="s">
        <v>23</v>
      </c>
      <c r="M424" t="s">
        <v>32</v>
      </c>
    </row>
    <row r="425" spans="1:14" x14ac:dyDescent="0.3">
      <c r="A425" s="3" t="s">
        <v>1383</v>
      </c>
      <c r="B425" s="3" t="s">
        <v>158</v>
      </c>
      <c r="C425" s="3" t="s">
        <v>16</v>
      </c>
      <c r="D425" t="s">
        <v>68</v>
      </c>
      <c r="E425" t="s">
        <v>436</v>
      </c>
      <c r="F425" t="s">
        <v>582</v>
      </c>
      <c r="G425" t="s">
        <v>1384</v>
      </c>
      <c r="H425" t="s">
        <v>1385</v>
      </c>
      <c r="I425" s="4">
        <v>4.72</v>
      </c>
      <c r="J425" t="s">
        <v>41</v>
      </c>
      <c r="K425" t="s">
        <v>57</v>
      </c>
      <c r="L425" t="s">
        <v>119</v>
      </c>
      <c r="M425" t="s">
        <v>43</v>
      </c>
    </row>
    <row r="426" spans="1:14" x14ac:dyDescent="0.3">
      <c r="A426" s="3" t="s">
        <v>1386</v>
      </c>
      <c r="B426" s="3" t="s">
        <v>80</v>
      </c>
      <c r="C426" s="3" t="s">
        <v>16</v>
      </c>
      <c r="D426" t="s">
        <v>68</v>
      </c>
      <c r="E426" t="s">
        <v>68</v>
      </c>
      <c r="F426" t="s">
        <v>436</v>
      </c>
      <c r="G426" t="s">
        <v>1387</v>
      </c>
      <c r="H426" t="s">
        <v>955</v>
      </c>
      <c r="I426" s="4">
        <v>3.77</v>
      </c>
      <c r="J426" t="s">
        <v>21</v>
      </c>
      <c r="K426" t="s">
        <v>22</v>
      </c>
      <c r="L426" t="s">
        <v>23</v>
      </c>
      <c r="M426" t="s">
        <v>24</v>
      </c>
    </row>
    <row r="427" spans="1:14" x14ac:dyDescent="0.3">
      <c r="A427" s="3" t="s">
        <v>1388</v>
      </c>
      <c r="B427" s="3" t="s">
        <v>52</v>
      </c>
      <c r="C427" s="3" t="s">
        <v>35</v>
      </c>
      <c r="D427" t="s">
        <v>114</v>
      </c>
      <c r="E427" t="s">
        <v>115</v>
      </c>
      <c r="F427" t="s">
        <v>229</v>
      </c>
      <c r="G427" t="s">
        <v>1389</v>
      </c>
      <c r="H427" t="s">
        <v>1390</v>
      </c>
      <c r="I427" s="4">
        <v>1.51</v>
      </c>
      <c r="J427" t="s">
        <v>73</v>
      </c>
      <c r="K427" t="s">
        <v>101</v>
      </c>
      <c r="L427" t="s">
        <v>23</v>
      </c>
      <c r="M427" t="s">
        <v>43</v>
      </c>
    </row>
    <row r="428" spans="1:14" x14ac:dyDescent="0.3">
      <c r="A428" s="3" t="s">
        <v>1391</v>
      </c>
      <c r="B428" s="3" t="s">
        <v>80</v>
      </c>
      <c r="C428" s="3" t="s">
        <v>16</v>
      </c>
      <c r="D428" t="s">
        <v>68</v>
      </c>
      <c r="E428" t="s">
        <v>436</v>
      </c>
      <c r="F428" t="s">
        <v>768</v>
      </c>
      <c r="G428" t="s">
        <v>1392</v>
      </c>
      <c r="H428" t="s">
        <v>314</v>
      </c>
      <c r="I428" s="4">
        <v>3.61</v>
      </c>
      <c r="J428" t="s">
        <v>21</v>
      </c>
      <c r="K428" t="s">
        <v>22</v>
      </c>
      <c r="L428" t="s">
        <v>23</v>
      </c>
      <c r="M428" t="s">
        <v>24</v>
      </c>
    </row>
    <row r="429" spans="1:14" x14ac:dyDescent="0.3">
      <c r="A429" s="3" t="s">
        <v>1393</v>
      </c>
      <c r="B429" s="3" t="s">
        <v>34</v>
      </c>
      <c r="C429" s="3" t="s">
        <v>35</v>
      </c>
      <c r="D429" t="s">
        <v>36</v>
      </c>
      <c r="E429" t="s">
        <v>53</v>
      </c>
      <c r="F429" t="s">
        <v>53</v>
      </c>
      <c r="G429" t="s">
        <v>1394</v>
      </c>
      <c r="H429" t="s">
        <v>1395</v>
      </c>
      <c r="I429" s="4">
        <v>1.77</v>
      </c>
      <c r="J429" t="s">
        <v>21</v>
      </c>
      <c r="K429" t="s">
        <v>101</v>
      </c>
      <c r="L429" t="s">
        <v>23</v>
      </c>
      <c r="M429" t="s">
        <v>24</v>
      </c>
    </row>
    <row r="430" spans="1:14" x14ac:dyDescent="0.3">
      <c r="A430" s="3" t="s">
        <v>1396</v>
      </c>
      <c r="B430" s="3" t="s">
        <v>158</v>
      </c>
      <c r="C430" s="3" t="s">
        <v>16</v>
      </c>
      <c r="D430" t="s">
        <v>17</v>
      </c>
      <c r="E430" t="s">
        <v>17</v>
      </c>
      <c r="F430" t="s">
        <v>17</v>
      </c>
      <c r="G430" t="s">
        <v>1397</v>
      </c>
      <c r="H430" t="s">
        <v>1385</v>
      </c>
      <c r="I430" s="4">
        <v>3.08</v>
      </c>
      <c r="J430" t="s">
        <v>41</v>
      </c>
      <c r="K430" t="s">
        <v>57</v>
      </c>
      <c r="L430" t="s">
        <v>119</v>
      </c>
      <c r="M430" t="s">
        <v>85</v>
      </c>
      <c r="N430" s="1">
        <v>44831</v>
      </c>
    </row>
    <row r="431" spans="1:14" x14ac:dyDescent="0.3">
      <c r="A431" s="3" t="s">
        <v>1398</v>
      </c>
      <c r="B431" s="3" t="s">
        <v>87</v>
      </c>
      <c r="C431" s="3" t="s">
        <v>35</v>
      </c>
      <c r="D431" t="s">
        <v>114</v>
      </c>
      <c r="E431" t="s">
        <v>115</v>
      </c>
      <c r="F431" t="s">
        <v>400</v>
      </c>
      <c r="G431" t="s">
        <v>1399</v>
      </c>
      <c r="H431" t="s">
        <v>1400</v>
      </c>
      <c r="I431" s="4">
        <v>3.23</v>
      </c>
      <c r="J431" t="s">
        <v>73</v>
      </c>
      <c r="K431" t="s">
        <v>101</v>
      </c>
      <c r="L431" t="s">
        <v>23</v>
      </c>
      <c r="M431" t="s">
        <v>32</v>
      </c>
    </row>
    <row r="432" spans="1:14" x14ac:dyDescent="0.3">
      <c r="A432" s="3" t="s">
        <v>1401</v>
      </c>
      <c r="B432" s="3" t="s">
        <v>158</v>
      </c>
      <c r="C432" s="3" t="s">
        <v>16</v>
      </c>
      <c r="D432" t="s">
        <v>17</v>
      </c>
      <c r="E432" t="s">
        <v>17</v>
      </c>
      <c r="F432" t="s">
        <v>81</v>
      </c>
      <c r="G432" t="s">
        <v>1402</v>
      </c>
      <c r="H432" t="s">
        <v>1403</v>
      </c>
      <c r="I432" s="4">
        <v>4.42</v>
      </c>
      <c r="J432" t="s">
        <v>21</v>
      </c>
      <c r="K432" t="s">
        <v>22</v>
      </c>
      <c r="L432" t="s">
        <v>23</v>
      </c>
      <c r="M432" t="s">
        <v>24</v>
      </c>
    </row>
    <row r="433" spans="1:13" x14ac:dyDescent="0.3">
      <c r="A433" s="3" t="s">
        <v>1404</v>
      </c>
      <c r="B433" s="3" t="s">
        <v>52</v>
      </c>
      <c r="C433" s="3" t="s">
        <v>35</v>
      </c>
      <c r="D433" t="s">
        <v>45</v>
      </c>
      <c r="E433" t="s">
        <v>45</v>
      </c>
      <c r="F433" t="s">
        <v>206</v>
      </c>
      <c r="G433" t="s">
        <v>1405</v>
      </c>
      <c r="H433" t="s">
        <v>1406</v>
      </c>
      <c r="I433" s="4">
        <v>0.9</v>
      </c>
      <c r="J433" t="s">
        <v>50</v>
      </c>
      <c r="K433" t="s">
        <v>22</v>
      </c>
      <c r="L433" t="s">
        <v>23</v>
      </c>
      <c r="M433" t="s">
        <v>24</v>
      </c>
    </row>
    <row r="434" spans="1:13" x14ac:dyDescent="0.3">
      <c r="A434" s="3" t="s">
        <v>1407</v>
      </c>
      <c r="B434" s="3" t="s">
        <v>158</v>
      </c>
      <c r="C434" s="3" t="s">
        <v>16</v>
      </c>
      <c r="D434" t="s">
        <v>27</v>
      </c>
      <c r="E434" t="s">
        <v>28</v>
      </c>
      <c r="F434" t="s">
        <v>410</v>
      </c>
      <c r="G434" s="2">
        <v>46360</v>
      </c>
      <c r="H434" t="s">
        <v>1408</v>
      </c>
      <c r="I434" s="4">
        <v>1.64</v>
      </c>
      <c r="J434" t="s">
        <v>50</v>
      </c>
      <c r="K434" t="s">
        <v>22</v>
      </c>
      <c r="L434" t="s">
        <v>23</v>
      </c>
      <c r="M434" t="s">
        <v>24</v>
      </c>
    </row>
    <row r="435" spans="1:13" x14ac:dyDescent="0.3">
      <c r="A435" s="3" t="s">
        <v>1409</v>
      </c>
      <c r="B435" s="3" t="s">
        <v>287</v>
      </c>
      <c r="C435" s="3" t="s">
        <v>35</v>
      </c>
      <c r="D435" t="s">
        <v>45</v>
      </c>
      <c r="E435" t="s">
        <v>46</v>
      </c>
      <c r="F435" t="s">
        <v>1054</v>
      </c>
      <c r="G435" t="s">
        <v>1410</v>
      </c>
      <c r="H435" t="s">
        <v>1411</v>
      </c>
      <c r="I435" s="4">
        <v>4.3600000000000003</v>
      </c>
      <c r="J435" t="s">
        <v>21</v>
      </c>
      <c r="K435" t="s">
        <v>22</v>
      </c>
      <c r="L435" t="s">
        <v>23</v>
      </c>
      <c r="M435" t="s">
        <v>32</v>
      </c>
    </row>
    <row r="436" spans="1:13" x14ac:dyDescent="0.3">
      <c r="A436" s="3" t="s">
        <v>1412</v>
      </c>
      <c r="B436" s="3" t="s">
        <v>131</v>
      </c>
      <c r="C436" s="3" t="s">
        <v>35</v>
      </c>
      <c r="D436" t="s">
        <v>36</v>
      </c>
      <c r="E436" t="s">
        <v>53</v>
      </c>
      <c r="F436" t="s">
        <v>985</v>
      </c>
      <c r="G436" t="s">
        <v>1413</v>
      </c>
      <c r="H436" t="s">
        <v>1414</v>
      </c>
      <c r="I436" s="4">
        <v>2.37</v>
      </c>
      <c r="J436" t="s">
        <v>50</v>
      </c>
      <c r="K436" t="s">
        <v>22</v>
      </c>
      <c r="L436" t="s">
        <v>23</v>
      </c>
      <c r="M436" t="s">
        <v>24</v>
      </c>
    </row>
    <row r="437" spans="1:13" x14ac:dyDescent="0.3">
      <c r="A437" s="3" t="s">
        <v>1415</v>
      </c>
      <c r="B437" s="3" t="s">
        <v>124</v>
      </c>
      <c r="C437" s="3" t="s">
        <v>16</v>
      </c>
      <c r="D437" t="s">
        <v>104</v>
      </c>
      <c r="E437" t="s">
        <v>105</v>
      </c>
      <c r="F437" t="s">
        <v>105</v>
      </c>
      <c r="G437" t="s">
        <v>1416</v>
      </c>
      <c r="H437" t="s">
        <v>1417</v>
      </c>
      <c r="I437" s="4">
        <v>4.2699999999999996</v>
      </c>
      <c r="J437" t="s">
        <v>50</v>
      </c>
      <c r="K437" t="s">
        <v>22</v>
      </c>
      <c r="L437" t="s">
        <v>23</v>
      </c>
      <c r="M437" t="s">
        <v>24</v>
      </c>
    </row>
    <row r="438" spans="1:13" x14ac:dyDescent="0.3">
      <c r="A438" s="3" t="s">
        <v>1418</v>
      </c>
      <c r="B438" s="3" t="s">
        <v>124</v>
      </c>
      <c r="C438" s="3" t="s">
        <v>16</v>
      </c>
      <c r="D438" t="s">
        <v>68</v>
      </c>
      <c r="E438" t="s">
        <v>69</v>
      </c>
      <c r="F438" t="s">
        <v>524</v>
      </c>
      <c r="G438" t="s">
        <v>1419</v>
      </c>
      <c r="H438" t="s">
        <v>1420</v>
      </c>
      <c r="I438" s="4">
        <v>4.4000000000000004</v>
      </c>
      <c r="J438" t="s">
        <v>21</v>
      </c>
      <c r="K438" t="s">
        <v>22</v>
      </c>
      <c r="L438" t="s">
        <v>23</v>
      </c>
      <c r="M438" t="s">
        <v>32</v>
      </c>
    </row>
    <row r="439" spans="1:13" x14ac:dyDescent="0.3">
      <c r="A439" s="3" t="s">
        <v>1421</v>
      </c>
      <c r="B439" s="3" t="s">
        <v>103</v>
      </c>
      <c r="C439" s="3" t="s">
        <v>16</v>
      </c>
      <c r="D439" t="s">
        <v>68</v>
      </c>
      <c r="E439" t="s">
        <v>69</v>
      </c>
      <c r="F439" t="s">
        <v>70</v>
      </c>
      <c r="G439" t="s">
        <v>1422</v>
      </c>
      <c r="H439" t="s">
        <v>1423</v>
      </c>
      <c r="I439" s="4">
        <v>1.1599999999999999</v>
      </c>
      <c r="J439" t="s">
        <v>21</v>
      </c>
      <c r="K439" t="s">
        <v>101</v>
      </c>
      <c r="L439" t="s">
        <v>23</v>
      </c>
      <c r="M439" t="s">
        <v>24</v>
      </c>
    </row>
    <row r="440" spans="1:13" x14ac:dyDescent="0.3">
      <c r="A440" s="3" t="s">
        <v>1424</v>
      </c>
      <c r="B440" s="3" t="s">
        <v>52</v>
      </c>
      <c r="C440" s="3" t="s">
        <v>35</v>
      </c>
      <c r="D440" t="s">
        <v>45</v>
      </c>
      <c r="E440" t="s">
        <v>46</v>
      </c>
      <c r="F440" t="s">
        <v>589</v>
      </c>
      <c r="G440" t="s">
        <v>1425</v>
      </c>
      <c r="H440" t="s">
        <v>1426</v>
      </c>
      <c r="I440" s="4">
        <v>4.7</v>
      </c>
      <c r="J440" t="s">
        <v>73</v>
      </c>
      <c r="K440" t="s">
        <v>101</v>
      </c>
      <c r="L440" t="s">
        <v>23</v>
      </c>
      <c r="M440" t="s">
        <v>32</v>
      </c>
    </row>
    <row r="441" spans="1:13" x14ac:dyDescent="0.3">
      <c r="A441" s="3" t="s">
        <v>1427</v>
      </c>
      <c r="B441" s="3" t="s">
        <v>158</v>
      </c>
      <c r="C441" s="3" t="s">
        <v>16</v>
      </c>
      <c r="D441" t="s">
        <v>17</v>
      </c>
      <c r="E441" t="s">
        <v>17</v>
      </c>
      <c r="F441" t="s">
        <v>17</v>
      </c>
      <c r="G441" t="s">
        <v>1428</v>
      </c>
      <c r="H441" t="s">
        <v>1429</v>
      </c>
      <c r="I441" s="4">
        <v>1.68</v>
      </c>
      <c r="J441" t="s">
        <v>73</v>
      </c>
      <c r="K441" t="s">
        <v>101</v>
      </c>
      <c r="L441" t="s">
        <v>23</v>
      </c>
      <c r="M441" t="s">
        <v>32</v>
      </c>
    </row>
    <row r="442" spans="1:13" x14ac:dyDescent="0.3">
      <c r="A442" s="3" t="s">
        <v>1430</v>
      </c>
      <c r="B442" s="3" t="s">
        <v>26</v>
      </c>
      <c r="C442" s="3" t="s">
        <v>16</v>
      </c>
      <c r="D442" t="s">
        <v>75</v>
      </c>
      <c r="E442" t="s">
        <v>251</v>
      </c>
      <c r="F442" t="s">
        <v>252</v>
      </c>
      <c r="G442" t="s">
        <v>1431</v>
      </c>
      <c r="H442" t="s">
        <v>1432</v>
      </c>
      <c r="I442" s="4">
        <v>4.17</v>
      </c>
      <c r="J442" t="s">
        <v>73</v>
      </c>
      <c r="K442" t="s">
        <v>57</v>
      </c>
      <c r="L442" t="s">
        <v>23</v>
      </c>
      <c r="M442" t="s">
        <v>32</v>
      </c>
    </row>
    <row r="443" spans="1:13" x14ac:dyDescent="0.3">
      <c r="A443" s="3" t="s">
        <v>1433</v>
      </c>
      <c r="B443" s="3" t="s">
        <v>124</v>
      </c>
      <c r="C443" s="3" t="s">
        <v>16</v>
      </c>
      <c r="D443" t="s">
        <v>68</v>
      </c>
      <c r="E443" t="s">
        <v>68</v>
      </c>
      <c r="F443" t="s">
        <v>69</v>
      </c>
      <c r="G443" t="s">
        <v>1434</v>
      </c>
      <c r="H443" t="s">
        <v>940</v>
      </c>
      <c r="I443" s="4">
        <v>2.2200000000000002</v>
      </c>
      <c r="J443" t="s">
        <v>50</v>
      </c>
      <c r="K443" t="s">
        <v>22</v>
      </c>
      <c r="L443" t="s">
        <v>23</v>
      </c>
      <c r="M443" t="s">
        <v>24</v>
      </c>
    </row>
    <row r="444" spans="1:13" x14ac:dyDescent="0.3">
      <c r="A444" s="3" t="s">
        <v>1435</v>
      </c>
      <c r="B444" s="3" t="s">
        <v>87</v>
      </c>
      <c r="C444" s="3" t="s">
        <v>35</v>
      </c>
      <c r="D444" t="s">
        <v>88</v>
      </c>
      <c r="E444" t="s">
        <v>88</v>
      </c>
      <c r="F444" t="s">
        <v>88</v>
      </c>
      <c r="G444" t="s">
        <v>1029</v>
      </c>
      <c r="H444" t="s">
        <v>1436</v>
      </c>
      <c r="I444" s="4">
        <v>3.43</v>
      </c>
      <c r="J444" t="s">
        <v>50</v>
      </c>
      <c r="K444" t="s">
        <v>22</v>
      </c>
      <c r="L444" t="s">
        <v>23</v>
      </c>
      <c r="M444" t="s">
        <v>24</v>
      </c>
    </row>
    <row r="445" spans="1:13" x14ac:dyDescent="0.3">
      <c r="A445" s="3" t="s">
        <v>1437</v>
      </c>
      <c r="B445" s="3" t="s">
        <v>63</v>
      </c>
      <c r="C445" s="3" t="s">
        <v>35</v>
      </c>
      <c r="D445" t="s">
        <v>88</v>
      </c>
      <c r="E445" t="s">
        <v>88</v>
      </c>
      <c r="F445" t="s">
        <v>29</v>
      </c>
      <c r="G445" t="s">
        <v>1438</v>
      </c>
      <c r="H445" t="s">
        <v>847</v>
      </c>
      <c r="I445" s="4">
        <v>4.97</v>
      </c>
      <c r="J445" t="s">
        <v>73</v>
      </c>
      <c r="K445" t="s">
        <v>101</v>
      </c>
      <c r="L445" t="s">
        <v>23</v>
      </c>
      <c r="M445" t="s">
        <v>43</v>
      </c>
    </row>
    <row r="446" spans="1:13" x14ac:dyDescent="0.3">
      <c r="A446" s="3" t="s">
        <v>1439</v>
      </c>
      <c r="B446" s="3" t="s">
        <v>287</v>
      </c>
      <c r="C446" s="3" t="s">
        <v>35</v>
      </c>
      <c r="D446" t="s">
        <v>45</v>
      </c>
      <c r="E446" t="s">
        <v>138</v>
      </c>
      <c r="F446" t="s">
        <v>138</v>
      </c>
      <c r="G446" t="s">
        <v>1440</v>
      </c>
      <c r="H446" t="s">
        <v>1441</v>
      </c>
      <c r="I446" s="4">
        <v>4.45</v>
      </c>
      <c r="J446" t="s">
        <v>21</v>
      </c>
      <c r="K446" t="s">
        <v>22</v>
      </c>
      <c r="L446" t="s">
        <v>23</v>
      </c>
      <c r="M446" t="s">
        <v>32</v>
      </c>
    </row>
    <row r="447" spans="1:13" x14ac:dyDescent="0.3">
      <c r="A447" s="3" t="s">
        <v>1442</v>
      </c>
      <c r="B447" s="3" t="s">
        <v>131</v>
      </c>
      <c r="C447" s="3" t="s">
        <v>35</v>
      </c>
      <c r="D447" t="s">
        <v>167</v>
      </c>
      <c r="E447" t="s">
        <v>168</v>
      </c>
      <c r="F447" t="s">
        <v>459</v>
      </c>
      <c r="G447" t="s">
        <v>1443</v>
      </c>
      <c r="H447" t="s">
        <v>431</v>
      </c>
      <c r="I447" s="4">
        <v>3.38</v>
      </c>
      <c r="J447" t="s">
        <v>21</v>
      </c>
      <c r="K447" t="s">
        <v>22</v>
      </c>
      <c r="L447" t="s">
        <v>23</v>
      </c>
      <c r="M447" t="s">
        <v>32</v>
      </c>
    </row>
    <row r="448" spans="1:13" x14ac:dyDescent="0.3">
      <c r="A448" s="3" t="s">
        <v>1444</v>
      </c>
      <c r="B448" s="3" t="s">
        <v>103</v>
      </c>
      <c r="C448" s="3" t="s">
        <v>16</v>
      </c>
      <c r="D448" t="s">
        <v>17</v>
      </c>
      <c r="E448" t="s">
        <v>17</v>
      </c>
      <c r="F448" t="s">
        <v>81</v>
      </c>
      <c r="G448" t="s">
        <v>1445</v>
      </c>
      <c r="H448" t="s">
        <v>653</v>
      </c>
      <c r="I448" s="4">
        <v>1.31</v>
      </c>
      <c r="J448" t="s">
        <v>21</v>
      </c>
      <c r="K448" t="s">
        <v>22</v>
      </c>
      <c r="L448" t="s">
        <v>23</v>
      </c>
      <c r="M448" t="s">
        <v>24</v>
      </c>
    </row>
    <row r="449" spans="1:13" x14ac:dyDescent="0.3">
      <c r="A449" s="3" t="s">
        <v>1446</v>
      </c>
      <c r="B449" s="3" t="s">
        <v>52</v>
      </c>
      <c r="C449" s="3" t="s">
        <v>35</v>
      </c>
      <c r="D449" t="s">
        <v>167</v>
      </c>
      <c r="E449" t="s">
        <v>350</v>
      </c>
      <c r="F449" t="s">
        <v>351</v>
      </c>
      <c r="G449" t="s">
        <v>1447</v>
      </c>
      <c r="H449" t="s">
        <v>1448</v>
      </c>
      <c r="I449" s="4">
        <v>2.4900000000000002</v>
      </c>
      <c r="J449" t="s">
        <v>21</v>
      </c>
      <c r="K449" t="s">
        <v>101</v>
      </c>
      <c r="L449" t="s">
        <v>23</v>
      </c>
      <c r="M449" t="s">
        <v>24</v>
      </c>
    </row>
    <row r="450" spans="1:13" x14ac:dyDescent="0.3">
      <c r="A450" s="3" t="s">
        <v>1449</v>
      </c>
      <c r="B450" s="3" t="s">
        <v>63</v>
      </c>
      <c r="C450" s="3" t="s">
        <v>35</v>
      </c>
      <c r="D450" t="s">
        <v>45</v>
      </c>
      <c r="E450" t="s">
        <v>45</v>
      </c>
      <c r="F450" t="s">
        <v>708</v>
      </c>
      <c r="G450" t="s">
        <v>1450</v>
      </c>
      <c r="H450" t="s">
        <v>1089</v>
      </c>
      <c r="I450" s="4">
        <v>3.95</v>
      </c>
      <c r="J450" t="s">
        <v>50</v>
      </c>
      <c r="K450" t="s">
        <v>22</v>
      </c>
      <c r="L450" t="s">
        <v>23</v>
      </c>
      <c r="M450" t="s">
        <v>24</v>
      </c>
    </row>
    <row r="451" spans="1:13" x14ac:dyDescent="0.3">
      <c r="A451" s="3" t="s">
        <v>1451</v>
      </c>
      <c r="B451" s="3" t="s">
        <v>287</v>
      </c>
      <c r="C451" s="3" t="s">
        <v>35</v>
      </c>
      <c r="D451" t="s">
        <v>114</v>
      </c>
      <c r="E451" t="s">
        <v>115</v>
      </c>
      <c r="F451" t="s">
        <v>216</v>
      </c>
      <c r="G451" t="s">
        <v>1452</v>
      </c>
      <c r="H451" t="s">
        <v>434</v>
      </c>
      <c r="I451" s="4">
        <v>1.52</v>
      </c>
      <c r="J451" t="s">
        <v>21</v>
      </c>
      <c r="K451" t="s">
        <v>22</v>
      </c>
      <c r="L451" t="s">
        <v>23</v>
      </c>
      <c r="M451" t="s">
        <v>24</v>
      </c>
    </row>
    <row r="452" spans="1:13" x14ac:dyDescent="0.3">
      <c r="A452" s="3" t="s">
        <v>1453</v>
      </c>
      <c r="B452" s="3" t="s">
        <v>67</v>
      </c>
      <c r="C452" s="3" t="s">
        <v>16</v>
      </c>
      <c r="D452" t="s">
        <v>188</v>
      </c>
      <c r="E452" t="s">
        <v>263</v>
      </c>
      <c r="F452" t="s">
        <v>380</v>
      </c>
      <c r="G452" t="s">
        <v>1454</v>
      </c>
      <c r="H452" t="s">
        <v>224</v>
      </c>
      <c r="I452" s="4">
        <v>3.58</v>
      </c>
      <c r="J452" t="s">
        <v>21</v>
      </c>
      <c r="K452" t="s">
        <v>22</v>
      </c>
      <c r="L452" t="s">
        <v>23</v>
      </c>
      <c r="M452" t="s">
        <v>24</v>
      </c>
    </row>
    <row r="453" spans="1:13" x14ac:dyDescent="0.3">
      <c r="A453" s="3" t="s">
        <v>1455</v>
      </c>
      <c r="B453" s="3" t="s">
        <v>80</v>
      </c>
      <c r="C453" s="3" t="s">
        <v>16</v>
      </c>
      <c r="D453" t="s">
        <v>17</v>
      </c>
      <c r="E453" t="s">
        <v>81</v>
      </c>
      <c r="F453" t="s">
        <v>81</v>
      </c>
      <c r="G453" t="s">
        <v>1456</v>
      </c>
      <c r="H453" t="s">
        <v>1432</v>
      </c>
      <c r="I453" s="4">
        <v>3.12</v>
      </c>
      <c r="J453" t="s">
        <v>50</v>
      </c>
      <c r="K453" t="s">
        <v>22</v>
      </c>
      <c r="L453" t="s">
        <v>23</v>
      </c>
      <c r="M453" t="s">
        <v>24</v>
      </c>
    </row>
    <row r="454" spans="1:13" x14ac:dyDescent="0.3">
      <c r="A454" s="3" t="s">
        <v>1457</v>
      </c>
      <c r="B454" s="3" t="s">
        <v>124</v>
      </c>
      <c r="C454" s="3" t="s">
        <v>16</v>
      </c>
      <c r="D454" t="s">
        <v>17</v>
      </c>
      <c r="E454" t="s">
        <v>17</v>
      </c>
      <c r="F454" t="s">
        <v>601</v>
      </c>
      <c r="G454" t="s">
        <v>1458</v>
      </c>
      <c r="H454" t="s">
        <v>1102</v>
      </c>
      <c r="I454" s="4">
        <v>2.5299999999999998</v>
      </c>
      <c r="J454" t="s">
        <v>73</v>
      </c>
      <c r="K454" t="s">
        <v>101</v>
      </c>
      <c r="L454" t="s">
        <v>23</v>
      </c>
      <c r="M454" t="s">
        <v>43</v>
      </c>
    </row>
    <row r="455" spans="1:13" x14ac:dyDescent="0.3">
      <c r="A455" s="3" t="s">
        <v>1459</v>
      </c>
      <c r="B455" s="3" t="s">
        <v>63</v>
      </c>
      <c r="C455" s="3" t="s">
        <v>35</v>
      </c>
      <c r="D455" t="s">
        <v>114</v>
      </c>
      <c r="E455" t="s">
        <v>115</v>
      </c>
      <c r="F455" t="s">
        <v>216</v>
      </c>
      <c r="G455" t="s">
        <v>1460</v>
      </c>
      <c r="H455" t="s">
        <v>1461</v>
      </c>
      <c r="I455" s="4">
        <v>1.67</v>
      </c>
      <c r="J455" t="s">
        <v>73</v>
      </c>
      <c r="K455" t="s">
        <v>42</v>
      </c>
      <c r="L455" t="s">
        <v>23</v>
      </c>
      <c r="M455" t="s">
        <v>43</v>
      </c>
    </row>
    <row r="456" spans="1:13" x14ac:dyDescent="0.3">
      <c r="A456" s="3" t="s">
        <v>1462</v>
      </c>
      <c r="B456" s="3" t="s">
        <v>131</v>
      </c>
      <c r="C456" s="3" t="s">
        <v>35</v>
      </c>
      <c r="D456" t="s">
        <v>45</v>
      </c>
      <c r="E456" t="s">
        <v>45</v>
      </c>
      <c r="F456" t="s">
        <v>206</v>
      </c>
      <c r="G456" t="s">
        <v>1463</v>
      </c>
      <c r="H456" t="s">
        <v>698</v>
      </c>
      <c r="I456" s="4">
        <v>3.99</v>
      </c>
      <c r="J456" t="s">
        <v>21</v>
      </c>
      <c r="K456" t="s">
        <v>22</v>
      </c>
      <c r="L456" t="s">
        <v>23</v>
      </c>
      <c r="M456" t="s">
        <v>32</v>
      </c>
    </row>
    <row r="457" spans="1:13" x14ac:dyDescent="0.3">
      <c r="A457" s="3" t="s">
        <v>1464</v>
      </c>
      <c r="B457" s="3" t="s">
        <v>287</v>
      </c>
      <c r="C457" s="3" t="s">
        <v>35</v>
      </c>
      <c r="D457" t="s">
        <v>45</v>
      </c>
      <c r="E457" t="s">
        <v>45</v>
      </c>
      <c r="F457" t="s">
        <v>655</v>
      </c>
      <c r="G457" t="s">
        <v>1465</v>
      </c>
      <c r="H457" t="s">
        <v>1466</v>
      </c>
      <c r="I457" s="4">
        <v>4.57</v>
      </c>
      <c r="J457" t="s">
        <v>21</v>
      </c>
      <c r="K457" t="s">
        <v>22</v>
      </c>
      <c r="L457" t="s">
        <v>23</v>
      </c>
      <c r="M457" t="s">
        <v>32</v>
      </c>
    </row>
    <row r="458" spans="1:13" x14ac:dyDescent="0.3">
      <c r="A458" s="3" t="s">
        <v>1467</v>
      </c>
      <c r="B458" s="3" t="s">
        <v>113</v>
      </c>
      <c r="C458" s="3" t="s">
        <v>35</v>
      </c>
      <c r="D458" t="s">
        <v>36</v>
      </c>
      <c r="E458" t="s">
        <v>175</v>
      </c>
      <c r="F458" t="s">
        <v>999</v>
      </c>
      <c r="G458" t="s">
        <v>1468</v>
      </c>
      <c r="H458" t="s">
        <v>1114</v>
      </c>
      <c r="I458" s="4">
        <v>1.6</v>
      </c>
      <c r="J458" t="s">
        <v>41</v>
      </c>
      <c r="K458" t="s">
        <v>57</v>
      </c>
      <c r="L458" t="s">
        <v>119</v>
      </c>
      <c r="M458" t="s">
        <v>43</v>
      </c>
    </row>
    <row r="459" spans="1:13" x14ac:dyDescent="0.3">
      <c r="A459" s="3" t="s">
        <v>1469</v>
      </c>
      <c r="B459" s="3" t="s">
        <v>67</v>
      </c>
      <c r="C459" s="3" t="s">
        <v>16</v>
      </c>
      <c r="D459" t="s">
        <v>68</v>
      </c>
      <c r="E459" t="s">
        <v>436</v>
      </c>
      <c r="F459" t="s">
        <v>768</v>
      </c>
      <c r="G459" t="s">
        <v>1470</v>
      </c>
      <c r="H459" t="s">
        <v>1408</v>
      </c>
      <c r="I459" s="4">
        <v>3.08</v>
      </c>
      <c r="J459" t="s">
        <v>21</v>
      </c>
      <c r="K459" t="s">
        <v>22</v>
      </c>
      <c r="L459" t="s">
        <v>23</v>
      </c>
      <c r="M459" t="s">
        <v>32</v>
      </c>
    </row>
    <row r="460" spans="1:13" x14ac:dyDescent="0.3">
      <c r="A460" s="3" t="s">
        <v>1471</v>
      </c>
      <c r="B460" s="3" t="s">
        <v>15</v>
      </c>
      <c r="C460" s="3" t="s">
        <v>16</v>
      </c>
      <c r="D460" t="s">
        <v>27</v>
      </c>
      <c r="E460" t="s">
        <v>28</v>
      </c>
      <c r="F460" t="s">
        <v>1472</v>
      </c>
      <c r="G460" t="s">
        <v>1473</v>
      </c>
      <c r="H460" t="s">
        <v>1474</v>
      </c>
      <c r="I460" s="4">
        <v>1.62</v>
      </c>
      <c r="J460" t="s">
        <v>21</v>
      </c>
      <c r="K460" t="s">
        <v>101</v>
      </c>
      <c r="L460" t="s">
        <v>23</v>
      </c>
      <c r="M460" t="s">
        <v>24</v>
      </c>
    </row>
    <row r="461" spans="1:13" x14ac:dyDescent="0.3">
      <c r="A461" s="3" t="s">
        <v>1475</v>
      </c>
      <c r="B461" s="3" t="s">
        <v>287</v>
      </c>
      <c r="C461" s="3" t="s">
        <v>35</v>
      </c>
      <c r="D461" t="s">
        <v>167</v>
      </c>
      <c r="E461" t="s">
        <v>168</v>
      </c>
      <c r="F461" t="s">
        <v>463</v>
      </c>
      <c r="G461" t="s">
        <v>1476</v>
      </c>
      <c r="H461" t="s">
        <v>631</v>
      </c>
      <c r="I461" s="4">
        <v>1.33</v>
      </c>
      <c r="J461" t="s">
        <v>21</v>
      </c>
      <c r="K461" t="s">
        <v>101</v>
      </c>
      <c r="L461" t="s">
        <v>23</v>
      </c>
      <c r="M461" t="s">
        <v>32</v>
      </c>
    </row>
    <row r="462" spans="1:13" x14ac:dyDescent="0.3">
      <c r="A462" s="3" t="s">
        <v>1477</v>
      </c>
      <c r="B462" s="3" t="s">
        <v>87</v>
      </c>
      <c r="C462" s="3" t="s">
        <v>35</v>
      </c>
      <c r="D462" t="s">
        <v>167</v>
      </c>
      <c r="E462" t="s">
        <v>168</v>
      </c>
      <c r="F462" t="s">
        <v>486</v>
      </c>
      <c r="G462" t="s">
        <v>1478</v>
      </c>
      <c r="H462" t="s">
        <v>1479</v>
      </c>
      <c r="I462" s="4">
        <v>0.7</v>
      </c>
      <c r="J462" t="s">
        <v>73</v>
      </c>
      <c r="K462" t="s">
        <v>101</v>
      </c>
      <c r="L462" t="s">
        <v>23</v>
      </c>
      <c r="M462" t="s">
        <v>43</v>
      </c>
    </row>
    <row r="463" spans="1:13" x14ac:dyDescent="0.3">
      <c r="A463" s="3" t="s">
        <v>1480</v>
      </c>
      <c r="B463" s="3" t="s">
        <v>67</v>
      </c>
      <c r="C463" s="3" t="s">
        <v>16</v>
      </c>
      <c r="D463" t="s">
        <v>104</v>
      </c>
      <c r="E463" t="s">
        <v>274</v>
      </c>
      <c r="F463" t="s">
        <v>440</v>
      </c>
      <c r="G463" t="s">
        <v>1481</v>
      </c>
      <c r="H463" t="s">
        <v>782</v>
      </c>
      <c r="I463" s="4">
        <v>3.15</v>
      </c>
      <c r="J463" t="s">
        <v>21</v>
      </c>
      <c r="K463" t="s">
        <v>22</v>
      </c>
      <c r="L463" t="s">
        <v>23</v>
      </c>
      <c r="M463" t="s">
        <v>24</v>
      </c>
    </row>
    <row r="464" spans="1:13" x14ac:dyDescent="0.3">
      <c r="A464" s="3" t="s">
        <v>1482</v>
      </c>
      <c r="B464" s="3" t="s">
        <v>63</v>
      </c>
      <c r="C464" s="3" t="s">
        <v>35</v>
      </c>
      <c r="D464" t="s">
        <v>167</v>
      </c>
      <c r="E464" t="s">
        <v>168</v>
      </c>
      <c r="F464" t="s">
        <v>319</v>
      </c>
      <c r="G464" t="s">
        <v>1483</v>
      </c>
      <c r="H464" t="s">
        <v>1484</v>
      </c>
      <c r="I464" s="4">
        <v>2.27</v>
      </c>
      <c r="J464" t="s">
        <v>73</v>
      </c>
      <c r="K464" t="s">
        <v>57</v>
      </c>
      <c r="L464" t="s">
        <v>23</v>
      </c>
      <c r="M464" t="s">
        <v>43</v>
      </c>
    </row>
    <row r="465" spans="1:14" x14ac:dyDescent="0.3">
      <c r="A465" s="3" t="s">
        <v>1485</v>
      </c>
      <c r="B465" s="3" t="s">
        <v>124</v>
      </c>
      <c r="C465" s="3" t="s">
        <v>16</v>
      </c>
      <c r="D465" t="s">
        <v>75</v>
      </c>
      <c r="E465" t="s">
        <v>251</v>
      </c>
      <c r="F465" t="s">
        <v>787</v>
      </c>
      <c r="G465" t="s">
        <v>1486</v>
      </c>
      <c r="H465" t="s">
        <v>1487</v>
      </c>
      <c r="I465" s="4">
        <v>1.85</v>
      </c>
      <c r="J465" t="s">
        <v>41</v>
      </c>
      <c r="K465" t="s">
        <v>57</v>
      </c>
      <c r="L465" t="s">
        <v>119</v>
      </c>
      <c r="M465" t="s">
        <v>85</v>
      </c>
      <c r="N465" s="1">
        <v>44744</v>
      </c>
    </row>
    <row r="466" spans="1:14" x14ac:dyDescent="0.3">
      <c r="A466" s="3" t="s">
        <v>1488</v>
      </c>
      <c r="B466" s="3" t="s">
        <v>158</v>
      </c>
      <c r="C466" s="3" t="s">
        <v>16</v>
      </c>
      <c r="D466" t="s">
        <v>68</v>
      </c>
      <c r="E466" t="s">
        <v>69</v>
      </c>
      <c r="F466" t="s">
        <v>1489</v>
      </c>
      <c r="G466" t="s">
        <v>1490</v>
      </c>
      <c r="H466" t="s">
        <v>1491</v>
      </c>
      <c r="I466" s="4">
        <v>1.52</v>
      </c>
      <c r="J466" t="s">
        <v>50</v>
      </c>
      <c r="K466" t="s">
        <v>22</v>
      </c>
      <c r="L466" t="s">
        <v>23</v>
      </c>
      <c r="M466" t="s">
        <v>24</v>
      </c>
    </row>
    <row r="467" spans="1:14" x14ac:dyDescent="0.3">
      <c r="A467" s="3" t="s">
        <v>1492</v>
      </c>
      <c r="B467" s="3" t="s">
        <v>59</v>
      </c>
      <c r="C467" s="3" t="s">
        <v>16</v>
      </c>
      <c r="D467" t="s">
        <v>27</v>
      </c>
      <c r="E467" t="s">
        <v>27</v>
      </c>
      <c r="F467" t="s">
        <v>1493</v>
      </c>
      <c r="G467" t="s">
        <v>1494</v>
      </c>
      <c r="H467" t="s">
        <v>1495</v>
      </c>
      <c r="I467" s="4">
        <v>1.99</v>
      </c>
      <c r="J467" t="s">
        <v>21</v>
      </c>
      <c r="K467" t="s">
        <v>22</v>
      </c>
      <c r="L467" t="s">
        <v>23</v>
      </c>
      <c r="M467" t="s">
        <v>32</v>
      </c>
    </row>
    <row r="468" spans="1:14" x14ac:dyDescent="0.3">
      <c r="A468" s="3" t="s">
        <v>1496</v>
      </c>
      <c r="B468" s="3" t="s">
        <v>124</v>
      </c>
      <c r="C468" s="3" t="s">
        <v>16</v>
      </c>
      <c r="D468" t="s">
        <v>188</v>
      </c>
      <c r="E468" t="s">
        <v>189</v>
      </c>
      <c r="F468" t="s">
        <v>1497</v>
      </c>
      <c r="G468" t="s">
        <v>1498</v>
      </c>
      <c r="H468" t="s">
        <v>1474</v>
      </c>
      <c r="I468" s="4">
        <v>2.2999999999999998</v>
      </c>
      <c r="J468" t="s">
        <v>41</v>
      </c>
      <c r="K468" t="s">
        <v>57</v>
      </c>
      <c r="L468" t="s">
        <v>119</v>
      </c>
      <c r="M468" t="s">
        <v>85</v>
      </c>
      <c r="N468" s="1">
        <v>45425</v>
      </c>
    </row>
    <row r="469" spans="1:14" x14ac:dyDescent="0.3">
      <c r="A469" s="3" t="s">
        <v>1499</v>
      </c>
      <c r="B469" s="3" t="s">
        <v>158</v>
      </c>
      <c r="C469" s="3" t="s">
        <v>16</v>
      </c>
      <c r="D469" t="s">
        <v>75</v>
      </c>
      <c r="E469" t="s">
        <v>76</v>
      </c>
      <c r="F469" t="s">
        <v>440</v>
      </c>
      <c r="G469" t="s">
        <v>1500</v>
      </c>
      <c r="H469" t="s">
        <v>1501</v>
      </c>
      <c r="I469" s="4">
        <v>2.81</v>
      </c>
      <c r="J469" t="s">
        <v>41</v>
      </c>
      <c r="K469" t="s">
        <v>57</v>
      </c>
      <c r="L469" t="s">
        <v>23</v>
      </c>
      <c r="M469" t="s">
        <v>85</v>
      </c>
    </row>
    <row r="470" spans="1:14" x14ac:dyDescent="0.3">
      <c r="A470" s="3" t="s">
        <v>1502</v>
      </c>
      <c r="B470" s="3" t="s">
        <v>113</v>
      </c>
      <c r="C470" s="3" t="s">
        <v>35</v>
      </c>
      <c r="D470" t="s">
        <v>114</v>
      </c>
      <c r="E470" t="s">
        <v>150</v>
      </c>
      <c r="F470" t="s">
        <v>302</v>
      </c>
      <c r="G470" t="s">
        <v>1503</v>
      </c>
      <c r="H470" t="s">
        <v>1504</v>
      </c>
      <c r="I470" s="4">
        <v>0.71</v>
      </c>
      <c r="J470" t="s">
        <v>41</v>
      </c>
      <c r="K470" t="s">
        <v>42</v>
      </c>
      <c r="L470" t="s">
        <v>119</v>
      </c>
      <c r="M470" t="s">
        <v>85</v>
      </c>
      <c r="N470" s="1">
        <v>44960</v>
      </c>
    </row>
    <row r="471" spans="1:14" x14ac:dyDescent="0.3">
      <c r="A471" s="3" t="s">
        <v>1505</v>
      </c>
      <c r="B471" s="3" t="s">
        <v>15</v>
      </c>
      <c r="C471" s="3" t="s">
        <v>16</v>
      </c>
      <c r="D471" t="s">
        <v>104</v>
      </c>
      <c r="E471" t="s">
        <v>274</v>
      </c>
      <c r="F471" t="s">
        <v>274</v>
      </c>
      <c r="G471" t="s">
        <v>1506</v>
      </c>
      <c r="H471" t="s">
        <v>1507</v>
      </c>
      <c r="I471" s="4">
        <v>4.41</v>
      </c>
      <c r="J471" t="s">
        <v>21</v>
      </c>
      <c r="K471" t="s">
        <v>101</v>
      </c>
      <c r="L471" t="s">
        <v>23</v>
      </c>
      <c r="M471" t="s">
        <v>24</v>
      </c>
    </row>
    <row r="472" spans="1:14" x14ac:dyDescent="0.3">
      <c r="A472" s="3" t="s">
        <v>1508</v>
      </c>
      <c r="B472" s="3" t="s">
        <v>124</v>
      </c>
      <c r="C472" s="3" t="s">
        <v>16</v>
      </c>
      <c r="D472" t="s">
        <v>17</v>
      </c>
      <c r="E472" t="s">
        <v>17</v>
      </c>
      <c r="F472" t="s">
        <v>559</v>
      </c>
      <c r="G472" t="s">
        <v>1509</v>
      </c>
      <c r="H472" t="s">
        <v>268</v>
      </c>
      <c r="I472" s="4">
        <v>1.95</v>
      </c>
      <c r="J472" t="s">
        <v>50</v>
      </c>
      <c r="K472" t="s">
        <v>22</v>
      </c>
      <c r="L472" t="s">
        <v>23</v>
      </c>
      <c r="M472" t="s">
        <v>24</v>
      </c>
    </row>
    <row r="473" spans="1:14" x14ac:dyDescent="0.3">
      <c r="A473" s="3" t="s">
        <v>1510</v>
      </c>
      <c r="B473" s="3" t="s">
        <v>80</v>
      </c>
      <c r="C473" s="3" t="s">
        <v>16</v>
      </c>
      <c r="D473" t="s">
        <v>68</v>
      </c>
      <c r="E473" t="s">
        <v>69</v>
      </c>
      <c r="F473" t="s">
        <v>69</v>
      </c>
      <c r="G473" t="s">
        <v>1511</v>
      </c>
      <c r="H473" t="s">
        <v>1512</v>
      </c>
      <c r="I473" s="4">
        <v>2.34</v>
      </c>
      <c r="J473" t="s">
        <v>50</v>
      </c>
      <c r="K473" t="s">
        <v>22</v>
      </c>
      <c r="L473" t="s">
        <v>23</v>
      </c>
      <c r="M473" t="s">
        <v>24</v>
      </c>
    </row>
    <row r="474" spans="1:14" x14ac:dyDescent="0.3">
      <c r="A474" s="3" t="s">
        <v>1513</v>
      </c>
      <c r="B474" s="3" t="s">
        <v>15</v>
      </c>
      <c r="C474" s="3" t="s">
        <v>16</v>
      </c>
      <c r="D474" t="s">
        <v>17</v>
      </c>
      <c r="E474" t="s">
        <v>17</v>
      </c>
      <c r="F474" t="s">
        <v>81</v>
      </c>
      <c r="G474" t="s">
        <v>1514</v>
      </c>
      <c r="H474" t="s">
        <v>587</v>
      </c>
      <c r="I474" s="4">
        <v>4.16</v>
      </c>
      <c r="J474" t="s">
        <v>50</v>
      </c>
      <c r="K474" t="s">
        <v>22</v>
      </c>
      <c r="L474" t="s">
        <v>23</v>
      </c>
      <c r="M474" t="s">
        <v>24</v>
      </c>
    </row>
    <row r="475" spans="1:14" x14ac:dyDescent="0.3">
      <c r="A475" s="3" t="s">
        <v>1515</v>
      </c>
      <c r="B475" s="3" t="s">
        <v>87</v>
      </c>
      <c r="C475" s="3" t="s">
        <v>35</v>
      </c>
      <c r="D475" t="s">
        <v>36</v>
      </c>
      <c r="E475" t="s">
        <v>53</v>
      </c>
      <c r="F475" t="s">
        <v>53</v>
      </c>
      <c r="G475" s="2">
        <v>46057</v>
      </c>
      <c r="H475" t="s">
        <v>1516</v>
      </c>
      <c r="I475" s="4">
        <v>1.1000000000000001</v>
      </c>
      <c r="J475" t="s">
        <v>21</v>
      </c>
      <c r="K475" t="s">
        <v>101</v>
      </c>
      <c r="L475" t="s">
        <v>23</v>
      </c>
      <c r="M475" t="s">
        <v>24</v>
      </c>
    </row>
    <row r="476" spans="1:14" x14ac:dyDescent="0.3">
      <c r="A476" s="3" t="s">
        <v>1517</v>
      </c>
      <c r="B476" s="3" t="s">
        <v>63</v>
      </c>
      <c r="C476" s="3" t="s">
        <v>35</v>
      </c>
      <c r="D476" t="s">
        <v>45</v>
      </c>
      <c r="E476" t="s">
        <v>138</v>
      </c>
      <c r="F476" t="s">
        <v>355</v>
      </c>
      <c r="G476" t="s">
        <v>1518</v>
      </c>
      <c r="H476" t="s">
        <v>844</v>
      </c>
      <c r="I476" s="4">
        <v>4.03</v>
      </c>
      <c r="J476" t="s">
        <v>21</v>
      </c>
      <c r="K476" t="s">
        <v>22</v>
      </c>
      <c r="L476" t="s">
        <v>23</v>
      </c>
      <c r="M476" t="s">
        <v>32</v>
      </c>
    </row>
    <row r="477" spans="1:14" x14ac:dyDescent="0.3">
      <c r="A477" s="3" t="s">
        <v>1519</v>
      </c>
      <c r="B477" s="3" t="s">
        <v>63</v>
      </c>
      <c r="C477" s="3" t="s">
        <v>35</v>
      </c>
      <c r="D477" t="s">
        <v>88</v>
      </c>
      <c r="E477" t="s">
        <v>88</v>
      </c>
      <c r="F477" t="s">
        <v>109</v>
      </c>
      <c r="G477" t="s">
        <v>1520</v>
      </c>
      <c r="H477" t="s">
        <v>1521</v>
      </c>
      <c r="I477" s="4">
        <v>2.92</v>
      </c>
      <c r="J477" t="s">
        <v>21</v>
      </c>
      <c r="K477" t="s">
        <v>101</v>
      </c>
      <c r="L477" t="s">
        <v>23</v>
      </c>
      <c r="M477" t="s">
        <v>24</v>
      </c>
    </row>
    <row r="478" spans="1:14" x14ac:dyDescent="0.3">
      <c r="A478" s="3" t="s">
        <v>1522</v>
      </c>
      <c r="B478" s="3" t="s">
        <v>158</v>
      </c>
      <c r="C478" s="3" t="s">
        <v>16</v>
      </c>
      <c r="D478" t="s">
        <v>27</v>
      </c>
      <c r="E478" t="s">
        <v>27</v>
      </c>
      <c r="F478" t="s">
        <v>1493</v>
      </c>
      <c r="G478" t="s">
        <v>1523</v>
      </c>
      <c r="H478" t="s">
        <v>61</v>
      </c>
      <c r="I478" s="4">
        <v>3.91</v>
      </c>
      <c r="J478" t="s">
        <v>21</v>
      </c>
      <c r="K478" t="s">
        <v>22</v>
      </c>
      <c r="L478" t="s">
        <v>23</v>
      </c>
      <c r="M478" t="s">
        <v>24</v>
      </c>
    </row>
    <row r="479" spans="1:14" x14ac:dyDescent="0.3">
      <c r="A479" s="3" t="s">
        <v>1524</v>
      </c>
      <c r="B479" s="3" t="s">
        <v>124</v>
      </c>
      <c r="C479" s="3" t="s">
        <v>16</v>
      </c>
      <c r="D479" t="s">
        <v>27</v>
      </c>
      <c r="E479" t="s">
        <v>93</v>
      </c>
      <c r="F479" t="s">
        <v>202</v>
      </c>
      <c r="G479" t="s">
        <v>1525</v>
      </c>
      <c r="H479" t="s">
        <v>268</v>
      </c>
      <c r="I479" s="4">
        <v>2.1800000000000002</v>
      </c>
      <c r="J479" t="s">
        <v>41</v>
      </c>
      <c r="K479" t="s">
        <v>57</v>
      </c>
      <c r="L479" t="s">
        <v>119</v>
      </c>
      <c r="M479" t="s">
        <v>43</v>
      </c>
    </row>
    <row r="480" spans="1:14" x14ac:dyDescent="0.3">
      <c r="A480" s="3" t="s">
        <v>1526</v>
      </c>
      <c r="B480" s="3" t="s">
        <v>194</v>
      </c>
      <c r="C480" s="3" t="s">
        <v>35</v>
      </c>
      <c r="D480" t="s">
        <v>114</v>
      </c>
      <c r="E480" t="s">
        <v>150</v>
      </c>
      <c r="F480" t="s">
        <v>151</v>
      </c>
      <c r="G480" t="s">
        <v>1527</v>
      </c>
      <c r="H480" t="s">
        <v>1528</v>
      </c>
      <c r="I480" s="4">
        <v>4.21</v>
      </c>
      <c r="J480" t="s">
        <v>73</v>
      </c>
      <c r="K480" t="s">
        <v>57</v>
      </c>
      <c r="L480" t="s">
        <v>23</v>
      </c>
      <c r="M480" t="s">
        <v>32</v>
      </c>
    </row>
    <row r="481" spans="1:14" x14ac:dyDescent="0.3">
      <c r="A481" s="3" t="s">
        <v>1529</v>
      </c>
      <c r="B481" s="3" t="s">
        <v>158</v>
      </c>
      <c r="C481" s="3" t="s">
        <v>16</v>
      </c>
      <c r="D481" t="s">
        <v>27</v>
      </c>
      <c r="E481" t="s">
        <v>28</v>
      </c>
      <c r="F481" t="s">
        <v>163</v>
      </c>
      <c r="G481" t="s">
        <v>1530</v>
      </c>
      <c r="H481" t="s">
        <v>584</v>
      </c>
      <c r="I481" s="4">
        <v>2.95</v>
      </c>
      <c r="J481" t="s">
        <v>21</v>
      </c>
      <c r="K481" t="s">
        <v>22</v>
      </c>
      <c r="L481" t="s">
        <v>23</v>
      </c>
      <c r="M481" t="s">
        <v>24</v>
      </c>
    </row>
    <row r="482" spans="1:14" x14ac:dyDescent="0.3">
      <c r="A482" s="3" t="s">
        <v>1531</v>
      </c>
      <c r="B482" s="3" t="s">
        <v>287</v>
      </c>
      <c r="C482" s="3" t="s">
        <v>35</v>
      </c>
      <c r="D482" t="s">
        <v>88</v>
      </c>
      <c r="E482" t="s">
        <v>89</v>
      </c>
      <c r="F482" t="s">
        <v>332</v>
      </c>
      <c r="G482" t="s">
        <v>1532</v>
      </c>
      <c r="H482" t="s">
        <v>1049</v>
      </c>
      <c r="I482" s="4">
        <v>2.5299999999999998</v>
      </c>
      <c r="J482" t="s">
        <v>41</v>
      </c>
      <c r="K482" t="s">
        <v>57</v>
      </c>
      <c r="L482" t="s">
        <v>23</v>
      </c>
      <c r="M482" t="s">
        <v>43</v>
      </c>
    </row>
    <row r="483" spans="1:14" x14ac:dyDescent="0.3">
      <c r="A483" s="3" t="s">
        <v>1533</v>
      </c>
      <c r="B483" s="3" t="s">
        <v>63</v>
      </c>
      <c r="C483" s="3" t="s">
        <v>35</v>
      </c>
      <c r="D483" t="s">
        <v>36</v>
      </c>
      <c r="E483" t="s">
        <v>53</v>
      </c>
      <c r="F483" t="s">
        <v>54</v>
      </c>
      <c r="G483" t="s">
        <v>1534</v>
      </c>
      <c r="H483" t="s">
        <v>1535</v>
      </c>
      <c r="I483" s="4">
        <v>2.02</v>
      </c>
      <c r="J483" t="s">
        <v>21</v>
      </c>
      <c r="K483" t="s">
        <v>101</v>
      </c>
      <c r="L483" t="s">
        <v>23</v>
      </c>
      <c r="M483" t="s">
        <v>32</v>
      </c>
    </row>
    <row r="484" spans="1:14" x14ac:dyDescent="0.3">
      <c r="A484" s="3" t="s">
        <v>1536</v>
      </c>
      <c r="B484" s="3" t="s">
        <v>113</v>
      </c>
      <c r="C484" s="3" t="s">
        <v>35</v>
      </c>
      <c r="D484" t="s">
        <v>45</v>
      </c>
      <c r="E484" t="s">
        <v>45</v>
      </c>
      <c r="F484" t="s">
        <v>45</v>
      </c>
      <c r="G484" t="s">
        <v>1537</v>
      </c>
      <c r="H484" t="s">
        <v>1538</v>
      </c>
      <c r="I484" s="4">
        <v>2.2400000000000002</v>
      </c>
      <c r="J484" t="s">
        <v>50</v>
      </c>
      <c r="K484" t="s">
        <v>22</v>
      </c>
      <c r="L484" t="s">
        <v>23</v>
      </c>
      <c r="M484" t="s">
        <v>24</v>
      </c>
    </row>
    <row r="485" spans="1:14" x14ac:dyDescent="0.3">
      <c r="A485" s="3" t="s">
        <v>1539</v>
      </c>
      <c r="B485" s="3" t="s">
        <v>15</v>
      </c>
      <c r="C485" s="3" t="s">
        <v>16</v>
      </c>
      <c r="D485" t="s">
        <v>104</v>
      </c>
      <c r="E485" t="s">
        <v>274</v>
      </c>
      <c r="F485" t="s">
        <v>450</v>
      </c>
      <c r="G485" t="s">
        <v>1540</v>
      </c>
      <c r="H485" t="s">
        <v>1541</v>
      </c>
      <c r="I485" s="4">
        <v>2.63</v>
      </c>
      <c r="J485" t="s">
        <v>50</v>
      </c>
      <c r="K485" t="s">
        <v>22</v>
      </c>
      <c r="L485" t="s">
        <v>23</v>
      </c>
      <c r="M485" t="s">
        <v>24</v>
      </c>
    </row>
    <row r="486" spans="1:14" x14ac:dyDescent="0.3">
      <c r="A486" s="3" t="s">
        <v>1542</v>
      </c>
      <c r="B486" s="3" t="s">
        <v>158</v>
      </c>
      <c r="C486" s="3" t="s">
        <v>16</v>
      </c>
      <c r="D486" t="s">
        <v>188</v>
      </c>
      <c r="E486" t="s">
        <v>189</v>
      </c>
      <c r="F486" t="s">
        <v>190</v>
      </c>
      <c r="G486" t="s">
        <v>1543</v>
      </c>
      <c r="H486" t="s">
        <v>314</v>
      </c>
      <c r="I486" s="4">
        <v>3.38</v>
      </c>
      <c r="J486" t="s">
        <v>41</v>
      </c>
      <c r="K486" t="s">
        <v>42</v>
      </c>
      <c r="L486" t="s">
        <v>23</v>
      </c>
      <c r="M486" t="s">
        <v>85</v>
      </c>
    </row>
    <row r="487" spans="1:14" x14ac:dyDescent="0.3">
      <c r="A487" s="3" t="s">
        <v>1544</v>
      </c>
      <c r="B487" s="3" t="s">
        <v>103</v>
      </c>
      <c r="C487" s="3" t="s">
        <v>16</v>
      </c>
      <c r="D487" t="s">
        <v>27</v>
      </c>
      <c r="E487" t="s">
        <v>93</v>
      </c>
      <c r="F487" t="s">
        <v>202</v>
      </c>
      <c r="G487" t="s">
        <v>1545</v>
      </c>
      <c r="H487" t="s">
        <v>1546</v>
      </c>
      <c r="I487" s="4">
        <v>2.44</v>
      </c>
      <c r="J487" t="s">
        <v>41</v>
      </c>
      <c r="K487" t="s">
        <v>42</v>
      </c>
      <c r="L487" t="s">
        <v>23</v>
      </c>
      <c r="M487" t="s">
        <v>85</v>
      </c>
    </row>
    <row r="488" spans="1:14" x14ac:dyDescent="0.3">
      <c r="A488" s="3" t="s">
        <v>1547</v>
      </c>
      <c r="B488" s="3" t="s">
        <v>194</v>
      </c>
      <c r="C488" s="3" t="s">
        <v>35</v>
      </c>
      <c r="D488" t="s">
        <v>114</v>
      </c>
      <c r="E488" t="s">
        <v>150</v>
      </c>
      <c r="F488" t="s">
        <v>898</v>
      </c>
      <c r="G488" t="s">
        <v>1548</v>
      </c>
      <c r="H488" t="s">
        <v>1549</v>
      </c>
      <c r="I488" s="4">
        <v>2.42</v>
      </c>
      <c r="J488" t="s">
        <v>73</v>
      </c>
      <c r="K488" t="s">
        <v>101</v>
      </c>
      <c r="L488" t="s">
        <v>23</v>
      </c>
      <c r="M488" t="s">
        <v>32</v>
      </c>
    </row>
    <row r="489" spans="1:14" x14ac:dyDescent="0.3">
      <c r="A489" s="3" t="s">
        <v>1550</v>
      </c>
      <c r="B489" s="3" t="s">
        <v>158</v>
      </c>
      <c r="C489" s="3" t="s">
        <v>16</v>
      </c>
      <c r="D489" t="s">
        <v>68</v>
      </c>
      <c r="E489" t="s">
        <v>68</v>
      </c>
      <c r="F489" t="s">
        <v>527</v>
      </c>
      <c r="G489" t="s">
        <v>1551</v>
      </c>
      <c r="H489" t="s">
        <v>1552</v>
      </c>
      <c r="I489" s="4">
        <v>3.76</v>
      </c>
      <c r="J489" t="s">
        <v>73</v>
      </c>
      <c r="K489" t="s">
        <v>42</v>
      </c>
      <c r="L489" t="s">
        <v>23</v>
      </c>
      <c r="M489" t="s">
        <v>32</v>
      </c>
    </row>
    <row r="490" spans="1:14" x14ac:dyDescent="0.3">
      <c r="A490" s="3" t="s">
        <v>1553</v>
      </c>
      <c r="B490" s="3" t="s">
        <v>158</v>
      </c>
      <c r="C490" s="3" t="s">
        <v>16</v>
      </c>
      <c r="D490" t="s">
        <v>68</v>
      </c>
      <c r="E490" t="s">
        <v>69</v>
      </c>
      <c r="F490" t="s">
        <v>69</v>
      </c>
      <c r="G490" t="s">
        <v>1282</v>
      </c>
      <c r="H490" t="s">
        <v>1554</v>
      </c>
      <c r="I490" s="4">
        <v>3.23</v>
      </c>
      <c r="J490" t="s">
        <v>41</v>
      </c>
      <c r="K490" t="s">
        <v>57</v>
      </c>
      <c r="L490" t="s">
        <v>23</v>
      </c>
      <c r="M490" t="s">
        <v>43</v>
      </c>
    </row>
    <row r="491" spans="1:14" x14ac:dyDescent="0.3">
      <c r="A491" s="3" t="s">
        <v>1555</v>
      </c>
      <c r="B491" s="3" t="s">
        <v>194</v>
      </c>
      <c r="C491" s="3" t="s">
        <v>35</v>
      </c>
      <c r="D491" t="s">
        <v>88</v>
      </c>
      <c r="E491" t="s">
        <v>88</v>
      </c>
      <c r="F491" t="s">
        <v>29</v>
      </c>
      <c r="G491" t="s">
        <v>1556</v>
      </c>
      <c r="H491" t="s">
        <v>1081</v>
      </c>
      <c r="I491" s="4">
        <v>3.92</v>
      </c>
      <c r="J491" t="s">
        <v>21</v>
      </c>
      <c r="K491" t="s">
        <v>101</v>
      </c>
      <c r="L491" t="s">
        <v>23</v>
      </c>
      <c r="M491" t="s">
        <v>24</v>
      </c>
    </row>
    <row r="492" spans="1:14" x14ac:dyDescent="0.3">
      <c r="A492" s="3" t="s">
        <v>1557</v>
      </c>
      <c r="B492" s="3" t="s">
        <v>63</v>
      </c>
      <c r="C492" s="3" t="s">
        <v>35</v>
      </c>
      <c r="D492" t="s">
        <v>88</v>
      </c>
      <c r="E492" t="s">
        <v>89</v>
      </c>
      <c r="F492" t="s">
        <v>94</v>
      </c>
      <c r="G492" t="s">
        <v>1558</v>
      </c>
      <c r="H492" t="s">
        <v>1559</v>
      </c>
      <c r="I492" s="4">
        <v>4</v>
      </c>
      <c r="J492" t="s">
        <v>21</v>
      </c>
      <c r="K492" t="s">
        <v>22</v>
      </c>
      <c r="L492" t="s">
        <v>23</v>
      </c>
      <c r="M492" t="s">
        <v>32</v>
      </c>
    </row>
    <row r="493" spans="1:14" x14ac:dyDescent="0.3">
      <c r="A493" s="3" t="s">
        <v>1560</v>
      </c>
      <c r="B493" s="3" t="s">
        <v>59</v>
      </c>
      <c r="C493" s="3" t="s">
        <v>16</v>
      </c>
      <c r="D493" t="s">
        <v>27</v>
      </c>
      <c r="E493" t="s">
        <v>27</v>
      </c>
      <c r="F493" t="s">
        <v>93</v>
      </c>
      <c r="G493" t="s">
        <v>1561</v>
      </c>
      <c r="H493" t="s">
        <v>1562</v>
      </c>
      <c r="I493" s="4">
        <v>4.5999999999999996</v>
      </c>
      <c r="J493" t="s">
        <v>41</v>
      </c>
      <c r="K493" t="s">
        <v>57</v>
      </c>
      <c r="L493" t="s">
        <v>119</v>
      </c>
      <c r="M493" t="s">
        <v>85</v>
      </c>
      <c r="N493" s="1">
        <v>45448</v>
      </c>
    </row>
    <row r="494" spans="1:14" x14ac:dyDescent="0.3">
      <c r="A494" s="3" t="s">
        <v>1563</v>
      </c>
      <c r="B494" s="3" t="s">
        <v>124</v>
      </c>
      <c r="C494" s="3" t="s">
        <v>16</v>
      </c>
      <c r="D494" t="s">
        <v>188</v>
      </c>
      <c r="E494" t="s">
        <v>189</v>
      </c>
      <c r="F494" t="s">
        <v>189</v>
      </c>
      <c r="G494" t="s">
        <v>1564</v>
      </c>
      <c r="H494" t="s">
        <v>1565</v>
      </c>
      <c r="I494" s="4">
        <v>4.1399999999999997</v>
      </c>
      <c r="J494" t="s">
        <v>21</v>
      </c>
      <c r="K494" t="s">
        <v>22</v>
      </c>
      <c r="L494" t="s">
        <v>23</v>
      </c>
      <c r="M494" t="s">
        <v>32</v>
      </c>
    </row>
    <row r="495" spans="1:14" x14ac:dyDescent="0.3">
      <c r="A495" s="3" t="s">
        <v>1566</v>
      </c>
      <c r="B495" s="3" t="s">
        <v>131</v>
      </c>
      <c r="C495" s="3" t="s">
        <v>35</v>
      </c>
      <c r="D495" t="s">
        <v>167</v>
      </c>
      <c r="E495" t="s">
        <v>168</v>
      </c>
      <c r="F495" t="s">
        <v>168</v>
      </c>
      <c r="G495" t="s">
        <v>1567</v>
      </c>
      <c r="H495" t="s">
        <v>1568</v>
      </c>
      <c r="I495" s="4">
        <v>1.35</v>
      </c>
      <c r="J495" t="s">
        <v>41</v>
      </c>
      <c r="K495" t="s">
        <v>57</v>
      </c>
      <c r="L495" t="s">
        <v>23</v>
      </c>
      <c r="M495" t="s">
        <v>43</v>
      </c>
    </row>
    <row r="496" spans="1:14" x14ac:dyDescent="0.3">
      <c r="A496" s="3" t="s">
        <v>1569</v>
      </c>
      <c r="B496" s="3" t="s">
        <v>67</v>
      </c>
      <c r="C496" s="3" t="s">
        <v>16</v>
      </c>
      <c r="D496" t="s">
        <v>188</v>
      </c>
      <c r="E496" t="s">
        <v>188</v>
      </c>
      <c r="F496" t="s">
        <v>1076</v>
      </c>
      <c r="G496" t="s">
        <v>1570</v>
      </c>
      <c r="H496" t="s">
        <v>277</v>
      </c>
      <c r="I496" s="4">
        <v>2.82</v>
      </c>
      <c r="J496" t="s">
        <v>21</v>
      </c>
      <c r="K496" t="s">
        <v>22</v>
      </c>
      <c r="L496" t="s">
        <v>23</v>
      </c>
      <c r="M496" t="s">
        <v>32</v>
      </c>
    </row>
    <row r="497" spans="1:14" x14ac:dyDescent="0.3">
      <c r="A497" s="3" t="s">
        <v>1571</v>
      </c>
      <c r="B497" s="3" t="s">
        <v>87</v>
      </c>
      <c r="C497" s="3" t="s">
        <v>35</v>
      </c>
      <c r="D497" t="s">
        <v>36</v>
      </c>
      <c r="E497" t="s">
        <v>53</v>
      </c>
      <c r="F497" t="s">
        <v>54</v>
      </c>
      <c r="G497" t="s">
        <v>1572</v>
      </c>
      <c r="H497" t="s">
        <v>1573</v>
      </c>
      <c r="I497" s="4">
        <v>2.89</v>
      </c>
      <c r="J497" t="s">
        <v>41</v>
      </c>
      <c r="K497" t="s">
        <v>57</v>
      </c>
      <c r="L497" t="s">
        <v>119</v>
      </c>
      <c r="M497" t="s">
        <v>85</v>
      </c>
      <c r="N497" s="1">
        <v>45116</v>
      </c>
    </row>
    <row r="498" spans="1:14" x14ac:dyDescent="0.3">
      <c r="A498" s="3" t="s">
        <v>1574</v>
      </c>
      <c r="B498" s="3" t="s">
        <v>131</v>
      </c>
      <c r="C498" s="3" t="s">
        <v>35</v>
      </c>
      <c r="D498" t="s">
        <v>45</v>
      </c>
      <c r="E498" t="s">
        <v>45</v>
      </c>
      <c r="F498" t="s">
        <v>655</v>
      </c>
      <c r="G498" t="s">
        <v>1575</v>
      </c>
      <c r="H498" t="s">
        <v>1576</v>
      </c>
      <c r="I498" s="4">
        <v>3.01</v>
      </c>
      <c r="J498" t="s">
        <v>21</v>
      </c>
      <c r="K498" t="s">
        <v>101</v>
      </c>
      <c r="L498" t="s">
        <v>23</v>
      </c>
      <c r="M498" t="s">
        <v>32</v>
      </c>
    </row>
    <row r="499" spans="1:14" x14ac:dyDescent="0.3">
      <c r="A499" s="3" t="s">
        <v>1577</v>
      </c>
      <c r="B499" s="3" t="s">
        <v>26</v>
      </c>
      <c r="C499" s="3" t="s">
        <v>16</v>
      </c>
      <c r="D499" t="s">
        <v>75</v>
      </c>
      <c r="E499" t="s">
        <v>251</v>
      </c>
      <c r="F499" t="s">
        <v>975</v>
      </c>
      <c r="G499" t="s">
        <v>1578</v>
      </c>
      <c r="H499" t="s">
        <v>1579</v>
      </c>
      <c r="I499" s="4">
        <v>4.55</v>
      </c>
      <c r="J499" t="s">
        <v>73</v>
      </c>
      <c r="K499" t="s">
        <v>42</v>
      </c>
      <c r="L499" t="s">
        <v>23</v>
      </c>
      <c r="M499" t="s">
        <v>43</v>
      </c>
    </row>
    <row r="500" spans="1:14" x14ac:dyDescent="0.3">
      <c r="A500" s="3" t="s">
        <v>1580</v>
      </c>
      <c r="B500" s="3" t="s">
        <v>194</v>
      </c>
      <c r="C500" s="3" t="s">
        <v>35</v>
      </c>
      <c r="D500" t="s">
        <v>88</v>
      </c>
      <c r="E500" t="s">
        <v>88</v>
      </c>
      <c r="F500" t="s">
        <v>29</v>
      </c>
      <c r="G500" t="s">
        <v>1581</v>
      </c>
      <c r="H500" t="s">
        <v>1582</v>
      </c>
      <c r="I500" s="4">
        <v>4.9400000000000004</v>
      </c>
      <c r="J500" t="s">
        <v>73</v>
      </c>
      <c r="K500" t="s">
        <v>101</v>
      </c>
      <c r="L500" t="s">
        <v>23</v>
      </c>
      <c r="M500" t="s">
        <v>43</v>
      </c>
    </row>
    <row r="501" spans="1:14" x14ac:dyDescent="0.3">
      <c r="A501" s="3" t="s">
        <v>1583</v>
      </c>
      <c r="B501" s="3" t="s">
        <v>158</v>
      </c>
      <c r="C501" s="3" t="s">
        <v>16</v>
      </c>
      <c r="D501" t="s">
        <v>68</v>
      </c>
      <c r="E501" t="s">
        <v>436</v>
      </c>
      <c r="F501" t="s">
        <v>768</v>
      </c>
      <c r="G501" t="s">
        <v>1584</v>
      </c>
      <c r="H501" t="s">
        <v>1585</v>
      </c>
      <c r="I501" s="4">
        <v>0.86</v>
      </c>
      <c r="J501" t="s">
        <v>50</v>
      </c>
      <c r="K501" t="s">
        <v>22</v>
      </c>
      <c r="L501" t="s">
        <v>23</v>
      </c>
      <c r="M501" t="s">
        <v>24</v>
      </c>
    </row>
    <row r="503" spans="1:14" x14ac:dyDescent="0.3">
      <c r="H503" s="5">
        <f>SUM(I2:I501)</f>
        <v>1408.5299999999997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CE8C-A897-480C-AC47-EF5A410721F3}">
  <dimension ref="A1:I18"/>
  <sheetViews>
    <sheetView workbookViewId="0">
      <selection activeCell="I19" sqref="I19"/>
    </sheetView>
  </sheetViews>
  <sheetFormatPr defaultRowHeight="14.4" x14ac:dyDescent="0.3"/>
  <cols>
    <col min="1" max="1" width="11.6640625" customWidth="1"/>
    <col min="2" max="2" width="34" bestFit="1" customWidth="1"/>
    <col min="3" max="3" width="11.44140625" bestFit="1" customWidth="1"/>
    <col min="4" max="4" width="10.6640625" bestFit="1" customWidth="1"/>
    <col min="5" max="5" width="13.77734375" customWidth="1"/>
    <col min="6" max="6" width="14.6640625" style="5" customWidth="1"/>
    <col min="7" max="7" width="21.109375" style="5" customWidth="1"/>
    <col min="8" max="8" width="26.6640625" style="1" customWidth="1"/>
    <col min="9" max="9" width="17" bestFit="1" customWidth="1"/>
  </cols>
  <sheetData>
    <row r="1" spans="1:9" x14ac:dyDescent="0.3">
      <c r="A1" t="s">
        <v>1</v>
      </c>
      <c r="B1" t="s">
        <v>1586</v>
      </c>
      <c r="C1" t="s">
        <v>2</v>
      </c>
      <c r="D1" t="s">
        <v>3</v>
      </c>
      <c r="E1" t="s">
        <v>1587</v>
      </c>
      <c r="F1" s="5" t="s">
        <v>1588</v>
      </c>
      <c r="G1" s="5" t="s">
        <v>1589</v>
      </c>
      <c r="H1" s="1" t="s">
        <v>1590</v>
      </c>
      <c r="I1" t="s">
        <v>1591</v>
      </c>
    </row>
    <row r="2" spans="1:9" x14ac:dyDescent="0.3">
      <c r="A2" t="s">
        <v>52</v>
      </c>
      <c r="B2" t="s">
        <v>1592</v>
      </c>
      <c r="C2" t="s">
        <v>35</v>
      </c>
      <c r="D2" t="s">
        <v>114</v>
      </c>
      <c r="E2" t="s">
        <v>1593</v>
      </c>
      <c r="F2" s="5">
        <v>50</v>
      </c>
      <c r="G2" s="5">
        <v>250</v>
      </c>
      <c r="H2" s="1">
        <v>45747</v>
      </c>
      <c r="I2" t="s">
        <v>1594</v>
      </c>
    </row>
    <row r="3" spans="1:9" x14ac:dyDescent="0.3">
      <c r="A3" t="s">
        <v>34</v>
      </c>
      <c r="B3" t="s">
        <v>1595</v>
      </c>
      <c r="C3" t="s">
        <v>35</v>
      </c>
      <c r="D3" t="s">
        <v>36</v>
      </c>
      <c r="E3" t="s">
        <v>1593</v>
      </c>
      <c r="F3" s="5">
        <v>100</v>
      </c>
      <c r="G3" s="5">
        <v>500</v>
      </c>
      <c r="H3" s="1">
        <v>45930</v>
      </c>
      <c r="I3" t="s">
        <v>1596</v>
      </c>
    </row>
    <row r="4" spans="1:9" x14ac:dyDescent="0.3">
      <c r="A4" t="s">
        <v>287</v>
      </c>
      <c r="B4" t="s">
        <v>1597</v>
      </c>
      <c r="C4" t="s">
        <v>35</v>
      </c>
      <c r="D4" t="s">
        <v>45</v>
      </c>
      <c r="E4" t="s">
        <v>1593</v>
      </c>
      <c r="F4" s="5">
        <v>75</v>
      </c>
      <c r="G4" s="5">
        <v>375</v>
      </c>
      <c r="H4" s="1">
        <v>46112</v>
      </c>
      <c r="I4" t="s">
        <v>1596</v>
      </c>
    </row>
    <row r="5" spans="1:9" x14ac:dyDescent="0.3">
      <c r="A5" t="s">
        <v>131</v>
      </c>
      <c r="B5" t="s">
        <v>1598</v>
      </c>
      <c r="C5" t="s">
        <v>35</v>
      </c>
      <c r="D5" t="s">
        <v>88</v>
      </c>
      <c r="E5" t="s">
        <v>1593</v>
      </c>
      <c r="F5" s="5">
        <v>60</v>
      </c>
      <c r="G5" s="5">
        <v>300</v>
      </c>
      <c r="H5" s="1">
        <v>45657</v>
      </c>
      <c r="I5" t="s">
        <v>1599</v>
      </c>
    </row>
    <row r="6" spans="1:9" x14ac:dyDescent="0.3">
      <c r="A6" t="s">
        <v>87</v>
      </c>
      <c r="B6" t="s">
        <v>1600</v>
      </c>
      <c r="C6" t="s">
        <v>35</v>
      </c>
      <c r="D6" t="s">
        <v>167</v>
      </c>
      <c r="E6" t="s">
        <v>1593</v>
      </c>
      <c r="F6" s="5">
        <v>40</v>
      </c>
      <c r="G6" s="5">
        <v>200</v>
      </c>
      <c r="H6" s="1">
        <v>46203</v>
      </c>
      <c r="I6" t="s">
        <v>1601</v>
      </c>
    </row>
    <row r="7" spans="1:9" x14ac:dyDescent="0.3">
      <c r="A7" t="s">
        <v>113</v>
      </c>
      <c r="B7" t="s">
        <v>1602</v>
      </c>
      <c r="C7" t="s">
        <v>35</v>
      </c>
      <c r="D7" t="s">
        <v>45</v>
      </c>
      <c r="E7" t="s">
        <v>1603</v>
      </c>
      <c r="F7" s="5">
        <v>80</v>
      </c>
      <c r="G7" s="5">
        <v>480</v>
      </c>
      <c r="H7" s="1">
        <v>46022</v>
      </c>
      <c r="I7" t="s">
        <v>1594</v>
      </c>
    </row>
    <row r="8" spans="1:9" x14ac:dyDescent="0.3">
      <c r="A8" t="s">
        <v>63</v>
      </c>
      <c r="B8" t="s">
        <v>1604</v>
      </c>
      <c r="C8" t="s">
        <v>35</v>
      </c>
      <c r="D8" t="s">
        <v>36</v>
      </c>
      <c r="E8" t="s">
        <v>1593</v>
      </c>
      <c r="F8" s="5">
        <v>35</v>
      </c>
      <c r="G8" s="5">
        <v>175</v>
      </c>
      <c r="H8" s="1">
        <v>46295</v>
      </c>
      <c r="I8" t="s">
        <v>1601</v>
      </c>
    </row>
    <row r="9" spans="1:9" x14ac:dyDescent="0.3">
      <c r="A9" t="s">
        <v>194</v>
      </c>
      <c r="B9" t="s">
        <v>1605</v>
      </c>
      <c r="C9" t="s">
        <v>35</v>
      </c>
      <c r="D9" t="s">
        <v>1606</v>
      </c>
      <c r="E9" t="s">
        <v>1593</v>
      </c>
      <c r="F9" s="5">
        <v>55</v>
      </c>
      <c r="G9" s="5">
        <v>275</v>
      </c>
      <c r="H9" s="1">
        <v>45838</v>
      </c>
      <c r="I9" t="s">
        <v>1596</v>
      </c>
    </row>
    <row r="10" spans="1:9" x14ac:dyDescent="0.3">
      <c r="A10" t="s">
        <v>80</v>
      </c>
      <c r="B10" t="s">
        <v>1607</v>
      </c>
      <c r="C10" t="s">
        <v>16</v>
      </c>
      <c r="D10" t="s">
        <v>188</v>
      </c>
      <c r="E10" t="s">
        <v>1593</v>
      </c>
      <c r="F10" s="5">
        <v>120</v>
      </c>
      <c r="G10" s="5">
        <v>600</v>
      </c>
      <c r="H10" s="1">
        <v>45838</v>
      </c>
      <c r="I10" t="s">
        <v>1594</v>
      </c>
    </row>
    <row r="11" spans="1:9" x14ac:dyDescent="0.3">
      <c r="A11" t="s">
        <v>59</v>
      </c>
      <c r="B11" t="s">
        <v>1608</v>
      </c>
      <c r="C11" t="s">
        <v>16</v>
      </c>
      <c r="D11" t="s">
        <v>68</v>
      </c>
      <c r="E11" t="s">
        <v>1603</v>
      </c>
      <c r="F11" s="5">
        <v>90</v>
      </c>
      <c r="G11" s="5">
        <v>540</v>
      </c>
      <c r="H11" s="1">
        <v>45747</v>
      </c>
      <c r="I11" t="s">
        <v>1599</v>
      </c>
    </row>
    <row r="12" spans="1:9" x14ac:dyDescent="0.3">
      <c r="A12" t="s">
        <v>103</v>
      </c>
      <c r="B12" t="s">
        <v>1609</v>
      </c>
      <c r="C12" t="s">
        <v>16</v>
      </c>
      <c r="D12" t="s">
        <v>104</v>
      </c>
      <c r="E12" t="s">
        <v>1593</v>
      </c>
      <c r="F12" s="5">
        <v>85</v>
      </c>
      <c r="G12" s="5">
        <v>425</v>
      </c>
      <c r="H12" s="1">
        <v>46112</v>
      </c>
      <c r="I12" t="s">
        <v>1596</v>
      </c>
    </row>
    <row r="13" spans="1:9" x14ac:dyDescent="0.3">
      <c r="A13" t="s">
        <v>67</v>
      </c>
      <c r="B13" t="s">
        <v>1610</v>
      </c>
      <c r="C13" t="s">
        <v>16</v>
      </c>
      <c r="D13" t="s">
        <v>75</v>
      </c>
      <c r="E13" t="s">
        <v>1593</v>
      </c>
      <c r="F13" s="5">
        <v>65</v>
      </c>
      <c r="G13" s="5">
        <v>325</v>
      </c>
      <c r="H13" s="1">
        <v>46203</v>
      </c>
      <c r="I13" t="s">
        <v>1601</v>
      </c>
    </row>
    <row r="14" spans="1:9" x14ac:dyDescent="0.3">
      <c r="A14" t="s">
        <v>15</v>
      </c>
      <c r="B14" t="s">
        <v>1611</v>
      </c>
      <c r="C14" t="s">
        <v>16</v>
      </c>
      <c r="D14" t="s">
        <v>27</v>
      </c>
      <c r="E14" t="s">
        <v>1593</v>
      </c>
      <c r="F14" s="5">
        <v>50</v>
      </c>
      <c r="G14" s="5">
        <v>250</v>
      </c>
      <c r="H14" s="1">
        <v>45930</v>
      </c>
      <c r="I14" t="s">
        <v>1596</v>
      </c>
    </row>
    <row r="15" spans="1:9" x14ac:dyDescent="0.3">
      <c r="A15" t="s">
        <v>124</v>
      </c>
      <c r="B15" t="s">
        <v>1612</v>
      </c>
      <c r="C15" t="s">
        <v>16</v>
      </c>
      <c r="D15" t="s">
        <v>17</v>
      </c>
      <c r="E15" t="s">
        <v>1603</v>
      </c>
      <c r="F15" s="5">
        <v>110</v>
      </c>
      <c r="G15" s="5">
        <v>660</v>
      </c>
      <c r="H15" s="1">
        <v>46022</v>
      </c>
      <c r="I15" t="s">
        <v>1594</v>
      </c>
    </row>
    <row r="16" spans="1:9" x14ac:dyDescent="0.3">
      <c r="A16" t="s">
        <v>158</v>
      </c>
      <c r="B16" t="s">
        <v>1613</v>
      </c>
      <c r="C16" t="s">
        <v>16</v>
      </c>
      <c r="D16" t="s">
        <v>104</v>
      </c>
      <c r="E16" t="s">
        <v>1593</v>
      </c>
      <c r="F16" s="5">
        <v>45</v>
      </c>
      <c r="G16" s="5">
        <v>225</v>
      </c>
      <c r="H16" s="1">
        <v>46295</v>
      </c>
      <c r="I16" t="s">
        <v>1601</v>
      </c>
    </row>
    <row r="17" spans="1:9" x14ac:dyDescent="0.3">
      <c r="A17" t="s">
        <v>26</v>
      </c>
      <c r="B17" t="s">
        <v>1614</v>
      </c>
      <c r="C17" t="s">
        <v>16</v>
      </c>
      <c r="D17" t="s">
        <v>68</v>
      </c>
      <c r="E17" t="s">
        <v>1593</v>
      </c>
      <c r="F17" s="5">
        <v>70</v>
      </c>
      <c r="G17" s="5">
        <v>350</v>
      </c>
      <c r="H17" s="1">
        <v>45838</v>
      </c>
      <c r="I17" t="s">
        <v>1596</v>
      </c>
    </row>
    <row r="18" spans="1:9" x14ac:dyDescent="0.3">
      <c r="F18" s="5">
        <f>SUBTOTAL(109,tbl_projects[Capacity_MW])</f>
        <v>1130</v>
      </c>
      <c r="G18" s="5">
        <f>SUBTOTAL(109,tbl_projects[Land_Required_Acres])</f>
        <v>5930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A9E4-BAC4-4A17-B251-38CA1C02DF42}">
  <dimension ref="A1:B14"/>
  <sheetViews>
    <sheetView workbookViewId="0">
      <selection activeCell="A9" sqref="A9"/>
    </sheetView>
  </sheetViews>
  <sheetFormatPr defaultRowHeight="14.4" x14ac:dyDescent="0.3"/>
  <cols>
    <col min="1" max="1" width="42.77734375" bestFit="1" customWidth="1"/>
    <col min="2" max="2" width="8.109375" bestFit="1" customWidth="1"/>
  </cols>
  <sheetData>
    <row r="1" spans="1:2" ht="15.6" x14ac:dyDescent="0.3">
      <c r="A1" s="6" t="s">
        <v>1615</v>
      </c>
    </row>
    <row r="3" spans="1:2" ht="15.6" x14ac:dyDescent="0.3">
      <c r="A3" s="6" t="s">
        <v>1616</v>
      </c>
      <c r="B3" s="5">
        <f>SUM(tbl_projects[Land_Required_Acres])</f>
        <v>5930</v>
      </c>
    </row>
    <row r="4" spans="1:2" ht="15.6" x14ac:dyDescent="0.3">
      <c r="A4" s="6" t="s">
        <v>1621</v>
      </c>
      <c r="B4" s="7">
        <f>COUNTIF(tbl_land_parcels[Registration_Status],"Registered")</f>
        <v>59</v>
      </c>
    </row>
    <row r="5" spans="1:2" ht="15.6" x14ac:dyDescent="0.3">
      <c r="A5" s="6" t="s">
        <v>1622</v>
      </c>
      <c r="B5">
        <f>SUMIFS(tbl_land_parcels[Land_Area_Acres],tbl_land_parcels[Registration_Status],"Registered")</f>
        <v>157.99999999999997</v>
      </c>
    </row>
    <row r="6" spans="1:2" ht="15.6" x14ac:dyDescent="0.3">
      <c r="A6" s="6" t="s">
        <v>1617</v>
      </c>
      <c r="B6">
        <f>COUNTIF(tbl_land_parcels[Agreement_Status],"Not Started")</f>
        <v>128</v>
      </c>
    </row>
    <row r="7" spans="1:2" ht="15.6" x14ac:dyDescent="0.3">
      <c r="A7" s="6" t="s">
        <v>1618</v>
      </c>
      <c r="B7">
        <f>COUNTIF(tbl_land_parcels[Legal_Verification],"Pending")</f>
        <v>194</v>
      </c>
    </row>
    <row r="8" spans="1:2" ht="15.6" x14ac:dyDescent="0.3">
      <c r="A8" s="6" t="s">
        <v>1619</v>
      </c>
      <c r="B8">
        <f>COUNTIF(tbl_land_parcels[Payment_Status],"Unpaid")</f>
        <v>188</v>
      </c>
    </row>
    <row r="11" spans="1:2" ht="15.6" x14ac:dyDescent="0.3">
      <c r="A11" s="6" t="s">
        <v>1620</v>
      </c>
      <c r="B11" s="8">
        <f>B5/B3</f>
        <v>2.6644182124789202E-2</v>
      </c>
    </row>
    <row r="12" spans="1:2" ht="15.6" x14ac:dyDescent="0.3">
      <c r="A12" s="6" t="s">
        <v>1623</v>
      </c>
      <c r="B12" s="5">
        <f>B3-B5</f>
        <v>5772</v>
      </c>
    </row>
    <row r="13" spans="1:2" ht="15.6" x14ac:dyDescent="0.3">
      <c r="A13" s="6" t="s">
        <v>1624</v>
      </c>
      <c r="B13">
        <f>COUNTIF(tbl_land_parcels[Agreement_Status],"Agreement Executed")</f>
        <v>119</v>
      </c>
    </row>
    <row r="14" spans="1:2" ht="15.6" x14ac:dyDescent="0.3">
      <c r="A14" s="6" t="s">
        <v>1625</v>
      </c>
      <c r="B14">
        <f>AVERAGE(tbl_land_parcels[Land_Area_Acres])</f>
        <v>2.8170599999999997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E09F-1F33-4179-8BC0-95EA6D559D4C}">
  <dimension ref="A1:H47"/>
  <sheetViews>
    <sheetView tabSelected="1" topLeftCell="A19" workbookViewId="0">
      <selection activeCell="M32" sqref="M32"/>
    </sheetView>
  </sheetViews>
  <sheetFormatPr defaultRowHeight="14.4" x14ac:dyDescent="0.3"/>
  <cols>
    <col min="1" max="1" width="16.88671875" bestFit="1" customWidth="1"/>
    <col min="2" max="2" width="22.33203125" bestFit="1" customWidth="1"/>
    <col min="6" max="6" width="12.5546875" bestFit="1" customWidth="1"/>
    <col min="7" max="8" width="22.33203125" bestFit="1" customWidth="1"/>
    <col min="9" max="9" width="12.5546875" bestFit="1" customWidth="1"/>
    <col min="10" max="10" width="8.6640625" customWidth="1"/>
    <col min="13" max="13" width="12.5546875" bestFit="1" customWidth="1"/>
    <col min="14" max="14" width="22.33203125" bestFit="1" customWidth="1"/>
  </cols>
  <sheetData>
    <row r="1" spans="1:8" ht="18" x14ac:dyDescent="0.35">
      <c r="A1" s="11" t="s">
        <v>1629</v>
      </c>
      <c r="B1" s="12"/>
      <c r="F1" s="10"/>
      <c r="G1" s="11" t="s">
        <v>1631</v>
      </c>
      <c r="H1" s="13"/>
    </row>
    <row r="2" spans="1:8" x14ac:dyDescent="0.3">
      <c r="A2" s="9" t="s">
        <v>11</v>
      </c>
      <c r="B2" t="s">
        <v>119</v>
      </c>
      <c r="G2" s="9" t="s">
        <v>1626</v>
      </c>
      <c r="H2" t="s">
        <v>1628</v>
      </c>
    </row>
    <row r="3" spans="1:8" x14ac:dyDescent="0.3">
      <c r="G3" s="3" t="s">
        <v>27</v>
      </c>
      <c r="H3" s="5">
        <v>105.51999999999998</v>
      </c>
    </row>
    <row r="4" spans="1:8" x14ac:dyDescent="0.3">
      <c r="A4" s="9" t="s">
        <v>1626</v>
      </c>
      <c r="B4" t="s">
        <v>1628</v>
      </c>
      <c r="G4" s="3" t="s">
        <v>17</v>
      </c>
      <c r="H4" s="5">
        <v>121.41</v>
      </c>
    </row>
    <row r="5" spans="1:8" x14ac:dyDescent="0.3">
      <c r="A5" s="3" t="s">
        <v>80</v>
      </c>
      <c r="B5" s="5">
        <v>15.63</v>
      </c>
      <c r="G5" s="3" t="s">
        <v>104</v>
      </c>
      <c r="H5" s="5">
        <v>89.789999999999978</v>
      </c>
    </row>
    <row r="6" spans="1:8" x14ac:dyDescent="0.3">
      <c r="A6" s="3" t="s">
        <v>59</v>
      </c>
      <c r="B6" s="5">
        <v>15.629999999999999</v>
      </c>
      <c r="G6" s="3" t="s">
        <v>68</v>
      </c>
      <c r="H6" s="5">
        <v>117.09</v>
      </c>
    </row>
    <row r="7" spans="1:8" x14ac:dyDescent="0.3">
      <c r="A7" s="3" t="s">
        <v>103</v>
      </c>
      <c r="B7" s="5">
        <v>1.95</v>
      </c>
      <c r="G7" s="3" t="s">
        <v>88</v>
      </c>
      <c r="H7" s="5">
        <v>146.88999999999999</v>
      </c>
    </row>
    <row r="8" spans="1:8" x14ac:dyDescent="0.3">
      <c r="A8" s="3" t="s">
        <v>67</v>
      </c>
      <c r="B8" s="5">
        <v>3.88</v>
      </c>
      <c r="G8" s="3" t="s">
        <v>167</v>
      </c>
      <c r="H8" s="5">
        <v>108.39999999999999</v>
      </c>
    </row>
    <row r="9" spans="1:8" x14ac:dyDescent="0.3">
      <c r="A9" s="3" t="s">
        <v>15</v>
      </c>
      <c r="B9" s="5">
        <v>8.24</v>
      </c>
      <c r="G9" s="3" t="s">
        <v>45</v>
      </c>
      <c r="H9" s="5">
        <v>185.64</v>
      </c>
    </row>
    <row r="10" spans="1:8" x14ac:dyDescent="0.3">
      <c r="A10" s="3" t="s">
        <v>124</v>
      </c>
      <c r="B10" s="5">
        <v>6.33</v>
      </c>
      <c r="G10" s="3" t="s">
        <v>114</v>
      </c>
      <c r="H10" s="5">
        <v>172.57000000000002</v>
      </c>
    </row>
    <row r="11" spans="1:8" x14ac:dyDescent="0.3">
      <c r="A11" s="3" t="s">
        <v>158</v>
      </c>
      <c r="B11" s="5">
        <v>17.07</v>
      </c>
      <c r="G11" s="3" t="s">
        <v>188</v>
      </c>
      <c r="H11" s="5">
        <v>113.43999999999997</v>
      </c>
    </row>
    <row r="12" spans="1:8" x14ac:dyDescent="0.3">
      <c r="A12" s="3" t="s">
        <v>26</v>
      </c>
      <c r="B12" s="5">
        <v>4.0999999999999996</v>
      </c>
      <c r="G12" s="3" t="s">
        <v>36</v>
      </c>
      <c r="H12" s="5">
        <v>157.08000000000001</v>
      </c>
    </row>
    <row r="13" spans="1:8" x14ac:dyDescent="0.3">
      <c r="A13" s="3" t="s">
        <v>52</v>
      </c>
      <c r="B13" s="5">
        <v>7.6300000000000008</v>
      </c>
      <c r="G13" s="3" t="s">
        <v>75</v>
      </c>
      <c r="H13" s="5">
        <v>90.7</v>
      </c>
    </row>
    <row r="14" spans="1:8" x14ac:dyDescent="0.3">
      <c r="A14" s="3" t="s">
        <v>34</v>
      </c>
      <c r="B14" s="5">
        <v>4.91</v>
      </c>
      <c r="G14" s="3" t="s">
        <v>1627</v>
      </c>
      <c r="H14" s="5">
        <v>1408.53</v>
      </c>
    </row>
    <row r="15" spans="1:8" x14ac:dyDescent="0.3">
      <c r="A15" s="3" t="s">
        <v>287</v>
      </c>
      <c r="B15" s="5">
        <v>11.740000000000002</v>
      </c>
    </row>
    <row r="16" spans="1:8" x14ac:dyDescent="0.3">
      <c r="A16" s="3" t="s">
        <v>131</v>
      </c>
      <c r="B16" s="5">
        <v>7.3</v>
      </c>
    </row>
    <row r="17" spans="1:2" x14ac:dyDescent="0.3">
      <c r="A17" s="3" t="s">
        <v>87</v>
      </c>
      <c r="B17" s="5">
        <v>15.159999999999998</v>
      </c>
    </row>
    <row r="18" spans="1:2" x14ac:dyDescent="0.3">
      <c r="A18" s="3" t="s">
        <v>113</v>
      </c>
      <c r="B18" s="5">
        <v>18.049999999999997</v>
      </c>
    </row>
    <row r="19" spans="1:2" x14ac:dyDescent="0.3">
      <c r="A19" s="3" t="s">
        <v>63</v>
      </c>
      <c r="B19" s="5">
        <v>11.6</v>
      </c>
    </row>
    <row r="20" spans="1:2" x14ac:dyDescent="0.3">
      <c r="A20" s="3" t="s">
        <v>194</v>
      </c>
      <c r="B20" s="5">
        <v>8.7799999999999994</v>
      </c>
    </row>
    <row r="21" spans="1:2" x14ac:dyDescent="0.3">
      <c r="A21" s="3" t="s">
        <v>1627</v>
      </c>
      <c r="B21" s="5">
        <v>157.99999999999997</v>
      </c>
    </row>
    <row r="41" spans="1:8" ht="18" x14ac:dyDescent="0.35">
      <c r="A41" s="11" t="s">
        <v>1633</v>
      </c>
      <c r="B41" s="11"/>
      <c r="G41" s="11" t="s">
        <v>1632</v>
      </c>
      <c r="H41" s="13"/>
    </row>
    <row r="42" spans="1:8" x14ac:dyDescent="0.3">
      <c r="A42" s="9" t="s">
        <v>1626</v>
      </c>
      <c r="B42" t="s">
        <v>1630</v>
      </c>
      <c r="G42" s="9" t="s">
        <v>1626</v>
      </c>
      <c r="H42" t="s">
        <v>1630</v>
      </c>
    </row>
    <row r="43" spans="1:8" x14ac:dyDescent="0.3">
      <c r="A43" s="3" t="s">
        <v>41</v>
      </c>
      <c r="B43">
        <v>119</v>
      </c>
      <c r="G43" s="3" t="s">
        <v>24</v>
      </c>
      <c r="H43">
        <v>188</v>
      </c>
    </row>
    <row r="44" spans="1:8" x14ac:dyDescent="0.3">
      <c r="A44" s="3" t="s">
        <v>73</v>
      </c>
      <c r="B44">
        <v>121</v>
      </c>
      <c r="G44" s="3" t="s">
        <v>32</v>
      </c>
      <c r="H44">
        <v>127</v>
      </c>
    </row>
    <row r="45" spans="1:8" x14ac:dyDescent="0.3">
      <c r="A45" s="3" t="s">
        <v>50</v>
      </c>
      <c r="B45">
        <v>128</v>
      </c>
      <c r="G45" s="3" t="s">
        <v>43</v>
      </c>
      <c r="H45">
        <v>121</v>
      </c>
    </row>
    <row r="46" spans="1:8" x14ac:dyDescent="0.3">
      <c r="A46" s="3" t="s">
        <v>21</v>
      </c>
      <c r="B46">
        <v>132</v>
      </c>
      <c r="G46" s="3" t="s">
        <v>85</v>
      </c>
      <c r="H46">
        <v>64</v>
      </c>
    </row>
    <row r="47" spans="1:8" x14ac:dyDescent="0.3">
      <c r="A47" s="3" t="s">
        <v>1627</v>
      </c>
      <c r="B47">
        <v>500</v>
      </c>
      <c r="G47" s="3" t="s">
        <v>1627</v>
      </c>
      <c r="H47">
        <v>500</v>
      </c>
    </row>
  </sheetData>
  <mergeCells count="4">
    <mergeCell ref="A1:B1"/>
    <mergeCell ref="G41:H41"/>
    <mergeCell ref="G1:H1"/>
    <mergeCell ref="A41:B41"/>
  </mergeCells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DC5B55-E64F-4E76-A0C0-34524AD14A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Land_Parcel_Tracking</vt:lpstr>
      <vt:lpstr>project_overview</vt:lpstr>
      <vt:lpstr>managment_summary</vt:lpstr>
      <vt:lpstr>pivot_analysis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Maithili Phulari</dc:creator>
  <cp:lastModifiedBy>Maithili Phulari</cp:lastModifiedBy>
  <dcterms:created xsi:type="dcterms:W3CDTF">2026-03-10T14:21:30Z</dcterms:created>
  <dcterms:modified xsi:type="dcterms:W3CDTF">2026-03-18T14:01:23Z</dcterms:modified>
</cp:coreProperties>
</file>